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slicers/slicer1.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3.xml" ContentType="application/vnd.openxmlformats-officedocument.drawing+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codeName="ThisWorkbook" hidePivotFieldList="1" defaultThemeVersion="202300"/>
  <mc:AlternateContent xmlns:mc="http://schemas.openxmlformats.org/markup-compatibility/2006">
    <mc:Choice Requires="x15">
      <x15ac:absPath xmlns:x15ac="http://schemas.microsoft.com/office/spreadsheetml/2010/11/ac" url="C:\Users\HP\Desktop\"/>
    </mc:Choice>
  </mc:AlternateContent>
  <xr:revisionPtr revIDLastSave="0" documentId="13_ncr:1_{AECABEF8-0DC6-4F97-9829-8056FFED1000}" xr6:coauthVersionLast="47" xr6:coauthVersionMax="47" xr10:uidLastSave="{00000000-0000-0000-0000-000000000000}"/>
  <bookViews>
    <workbookView xWindow="-110" yWindow="-110" windowWidth="19420" windowHeight="11020" activeTab="1" xr2:uid="{2C486562-7B3C-4B95-BCDB-0768237B38C0}"/>
  </bookViews>
  <sheets>
    <sheet name="Pivot Table" sheetId="5" r:id="rId1"/>
    <sheet name="Dashboard" sheetId="6" r:id="rId2"/>
    <sheet name="Row data" sheetId="1" r:id="rId3"/>
  </sheets>
  <definedNames>
    <definedName name="Slicer_Category">#N/A</definedName>
    <definedName name="Slicer_City">#N/A</definedName>
    <definedName name="Slicer_Product_Name">#N/A</definedName>
    <definedName name="Slicer_Salesperson">#N/A</definedName>
  </definedNames>
  <calcPr calcId="191029"/>
  <pivotCaches>
    <pivotCache cacheId="63" r:id="rId4"/>
  </pivotCaches>
  <extLst>
    <ext xmlns:x14="http://schemas.microsoft.com/office/spreadsheetml/2009/9/main" uri="{BBE1A952-AA13-448e-AADC-164F8A28A991}">
      <x14:slicerCaches>
        <x14:slicerCache r:id="rId5"/>
        <x14:slicerCache r:id="rId6"/>
        <x14:slicerCache r:id="rId7"/>
        <x14:slicerCache r:id="rId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J102" i="1" l="1"/>
  <c r="M102" i="1"/>
  <c r="M2" i="1"/>
  <c r="M3" i="1"/>
  <c r="M4" i="1"/>
  <c r="M5" i="1"/>
  <c r="M6" i="1"/>
  <c r="M7" i="1"/>
  <c r="M8" i="1"/>
  <c r="M9" i="1"/>
  <c r="M10" i="1"/>
  <c r="M11" i="1"/>
  <c r="M12" i="1"/>
  <c r="M13" i="1"/>
  <c r="M14" i="1"/>
  <c r="M15" i="1"/>
  <c r="M16" i="1"/>
  <c r="M17" i="1"/>
  <c r="M18" i="1"/>
  <c r="M19" i="1"/>
  <c r="M20" i="1"/>
  <c r="M21" i="1"/>
  <c r="M22" i="1"/>
  <c r="M23" i="1"/>
  <c r="M24" i="1"/>
  <c r="M25" i="1"/>
  <c r="M26" i="1"/>
  <c r="M27" i="1"/>
  <c r="M28" i="1"/>
  <c r="M29" i="1"/>
  <c r="M30" i="1"/>
  <c r="M31" i="1"/>
  <c r="M32" i="1"/>
  <c r="M33" i="1"/>
  <c r="M34" i="1"/>
  <c r="M35" i="1"/>
  <c r="M36" i="1"/>
  <c r="M37" i="1"/>
  <c r="M38" i="1"/>
  <c r="M39" i="1"/>
  <c r="M40" i="1"/>
  <c r="M41" i="1"/>
  <c r="M42" i="1"/>
  <c r="M43" i="1"/>
  <c r="M44" i="1"/>
  <c r="M45" i="1"/>
  <c r="M46" i="1"/>
  <c r="M47" i="1"/>
  <c r="M48" i="1"/>
  <c r="M49" i="1"/>
  <c r="M50" i="1"/>
  <c r="M51" i="1"/>
  <c r="M52" i="1"/>
  <c r="M53" i="1"/>
  <c r="M54" i="1"/>
  <c r="M55" i="1"/>
  <c r="M56" i="1"/>
  <c r="M57" i="1"/>
  <c r="M58" i="1"/>
  <c r="M59" i="1"/>
  <c r="M60" i="1"/>
  <c r="M61" i="1"/>
  <c r="M62" i="1"/>
  <c r="M63" i="1"/>
  <c r="M64" i="1"/>
  <c r="M65" i="1"/>
  <c r="M66" i="1"/>
  <c r="M67" i="1"/>
  <c r="M68" i="1"/>
  <c r="M69" i="1"/>
  <c r="M70" i="1"/>
  <c r="M71" i="1"/>
  <c r="M72" i="1"/>
  <c r="M73" i="1"/>
  <c r="M74" i="1"/>
  <c r="M75" i="1"/>
  <c r="M76" i="1"/>
  <c r="M77" i="1"/>
  <c r="M78" i="1"/>
  <c r="M79" i="1"/>
  <c r="M80" i="1"/>
  <c r="M81" i="1"/>
  <c r="M82" i="1"/>
  <c r="M83" i="1"/>
  <c r="M84" i="1"/>
  <c r="M85" i="1"/>
  <c r="M86" i="1"/>
  <c r="M87" i="1"/>
  <c r="M88" i="1"/>
  <c r="M89" i="1"/>
  <c r="M90" i="1"/>
  <c r="M91" i="1"/>
  <c r="M92" i="1"/>
  <c r="M93" i="1"/>
  <c r="M94" i="1"/>
  <c r="M95" i="1"/>
  <c r="M96" i="1"/>
  <c r="M97" i="1"/>
  <c r="M98" i="1"/>
  <c r="M99" i="1"/>
  <c r="M100" i="1"/>
  <c r="M101" i="1"/>
</calcChain>
</file>

<file path=xl/sharedStrings.xml><?xml version="1.0" encoding="utf-8"?>
<sst xmlns="http://schemas.openxmlformats.org/spreadsheetml/2006/main" count="804" uniqueCount="166">
  <si>
    <t>Order_ID</t>
  </si>
  <si>
    <t>Order_Date</t>
  </si>
  <si>
    <t>Year</t>
  </si>
  <si>
    <t>Month</t>
  </si>
  <si>
    <t>January</t>
  </si>
  <si>
    <t>Country</t>
  </si>
  <si>
    <t>Somalia</t>
  </si>
  <si>
    <t>City</t>
  </si>
  <si>
    <t>Mogadishu</t>
  </si>
  <si>
    <t>Salesperson</t>
  </si>
  <si>
    <t>Ahmed Ali</t>
  </si>
  <si>
    <t>Product_Name</t>
  </si>
  <si>
    <t>Laptop</t>
  </si>
  <si>
    <t>Category</t>
  </si>
  <si>
    <t>Electronics</t>
  </si>
  <si>
    <t>Quantity</t>
  </si>
  <si>
    <t>Unit_Price</t>
  </si>
  <si>
    <t>Cost_Price</t>
  </si>
  <si>
    <t>Hargeisa</t>
  </si>
  <si>
    <t>Mouse</t>
  </si>
  <si>
    <t>Accessories</t>
  </si>
  <si>
    <t>Kismayo</t>
  </si>
  <si>
    <t>Mohamed Abdi</t>
  </si>
  <si>
    <t>Keyboard</t>
  </si>
  <si>
    <t>Monitor</t>
  </si>
  <si>
    <t>February</t>
  </si>
  <si>
    <t>Printer</t>
  </si>
  <si>
    <t>March</t>
  </si>
  <si>
    <t>April</t>
  </si>
  <si>
    <t>May</t>
  </si>
  <si>
    <t>June</t>
  </si>
  <si>
    <t>July</t>
  </si>
  <si>
    <t>August</t>
  </si>
  <si>
    <t>September</t>
  </si>
  <si>
    <t>October</t>
  </si>
  <si>
    <t>November</t>
  </si>
  <si>
    <t>December</t>
  </si>
  <si>
    <t>Garowe</t>
  </si>
  <si>
    <t>Asha Yusuf</t>
  </si>
  <si>
    <t>Baidoa</t>
  </si>
  <si>
    <t>Hassan Omar</t>
  </si>
  <si>
    <t>Ethiopia</t>
  </si>
  <si>
    <t>Addis Ababa</t>
  </si>
  <si>
    <t>Daniel Bekele</t>
  </si>
  <si>
    <t>Hana Tesfaye</t>
  </si>
  <si>
    <t>Abebe Tadesse</t>
  </si>
  <si>
    <t>Marta Alemu</t>
  </si>
  <si>
    <t>Kenya</t>
  </si>
  <si>
    <t>Nairobi</t>
  </si>
  <si>
    <t>John Kamau</t>
  </si>
  <si>
    <t>Grace Wanjiku</t>
  </si>
  <si>
    <t>Hassan Noor</t>
  </si>
  <si>
    <t>Djibouti</t>
  </si>
  <si>
    <t>Djibouti City</t>
  </si>
  <si>
    <t>Omar Hassan</t>
  </si>
  <si>
    <t>Fatouma Mohamed</t>
  </si>
  <si>
    <t>Ismail Warsama</t>
  </si>
  <si>
    <t>Mariam Ali</t>
  </si>
  <si>
    <t>ORD001</t>
  </si>
  <si>
    <t>ORD002</t>
  </si>
  <si>
    <t>Smartphone</t>
  </si>
  <si>
    <t>ORD003</t>
  </si>
  <si>
    <t>Office</t>
  </si>
  <si>
    <t>ORD004</t>
  </si>
  <si>
    <t>ORD005</t>
  </si>
  <si>
    <t>ORD006</t>
  </si>
  <si>
    <t>ORD007</t>
  </si>
  <si>
    <t>Desktop Computer</t>
  </si>
  <si>
    <t>ORD008</t>
  </si>
  <si>
    <t>ORD009</t>
  </si>
  <si>
    <t>Galkayo</t>
  </si>
  <si>
    <t>ORD010</t>
  </si>
  <si>
    <t>ORD011</t>
  </si>
  <si>
    <t>ORD012</t>
  </si>
  <si>
    <t>ORD013</t>
  </si>
  <si>
    <t>ORD014</t>
  </si>
  <si>
    <t>ORD015</t>
  </si>
  <si>
    <t>ORD016</t>
  </si>
  <si>
    <t>ORD017</t>
  </si>
  <si>
    <t>ORD018</t>
  </si>
  <si>
    <t>ORD019</t>
  </si>
  <si>
    <t>ORD020</t>
  </si>
  <si>
    <t>ORD021</t>
  </si>
  <si>
    <t>ORD022</t>
  </si>
  <si>
    <t>ORD023</t>
  </si>
  <si>
    <t>ORD024</t>
  </si>
  <si>
    <t>ORD025</t>
  </si>
  <si>
    <t>ORD026</t>
  </si>
  <si>
    <t>ORD027</t>
  </si>
  <si>
    <t>ORD028</t>
  </si>
  <si>
    <t>ORD029</t>
  </si>
  <si>
    <t>ORD030</t>
  </si>
  <si>
    <t>ORD031</t>
  </si>
  <si>
    <t>ORD032</t>
  </si>
  <si>
    <t>ORD033</t>
  </si>
  <si>
    <t>ORD034</t>
  </si>
  <si>
    <t>ORD035</t>
  </si>
  <si>
    <t>ORD036</t>
  </si>
  <si>
    <t>ORD037</t>
  </si>
  <si>
    <t>ORD038</t>
  </si>
  <si>
    <t>ORD039</t>
  </si>
  <si>
    <t>ORD040</t>
  </si>
  <si>
    <t>ORD041</t>
  </si>
  <si>
    <t>ORD042</t>
  </si>
  <si>
    <t>ORD043</t>
  </si>
  <si>
    <t>ORD044</t>
  </si>
  <si>
    <t>ORD045</t>
  </si>
  <si>
    <t>ORD046</t>
  </si>
  <si>
    <t>ORD047</t>
  </si>
  <si>
    <t>ORD048</t>
  </si>
  <si>
    <t>ORD049</t>
  </si>
  <si>
    <t>ORD050</t>
  </si>
  <si>
    <t>ORD051</t>
  </si>
  <si>
    <t>ORD052</t>
  </si>
  <si>
    <t>ORD053</t>
  </si>
  <si>
    <t>ORD054</t>
  </si>
  <si>
    <t>ORD055</t>
  </si>
  <si>
    <t>ORD056</t>
  </si>
  <si>
    <t>ORD057</t>
  </si>
  <si>
    <t>ORD058</t>
  </si>
  <si>
    <t>ORD059</t>
  </si>
  <si>
    <t>ORD060</t>
  </si>
  <si>
    <t>ORD061</t>
  </si>
  <si>
    <t>ORD062</t>
  </si>
  <si>
    <t>ORD063</t>
  </si>
  <si>
    <t>ORD064</t>
  </si>
  <si>
    <t>ORD065</t>
  </si>
  <si>
    <t>ORD066</t>
  </si>
  <si>
    <t>ORD067</t>
  </si>
  <si>
    <t>ORD068</t>
  </si>
  <si>
    <t>ORD069</t>
  </si>
  <si>
    <t>ORD070</t>
  </si>
  <si>
    <t>ORD071</t>
  </si>
  <si>
    <t>ORD072</t>
  </si>
  <si>
    <t>ORD073</t>
  </si>
  <si>
    <t>ORD074</t>
  </si>
  <si>
    <t>ORD075</t>
  </si>
  <si>
    <t>ORD076</t>
  </si>
  <si>
    <t>ORD077</t>
  </si>
  <si>
    <t>ORD078</t>
  </si>
  <si>
    <t>ORD079</t>
  </si>
  <si>
    <t>ORD080</t>
  </si>
  <si>
    <t>ORD081</t>
  </si>
  <si>
    <t>ORD082</t>
  </si>
  <si>
    <t>ORD083</t>
  </si>
  <si>
    <t>ORD084</t>
  </si>
  <si>
    <t>ORD085</t>
  </si>
  <si>
    <t>ORD086</t>
  </si>
  <si>
    <t>ORD087</t>
  </si>
  <si>
    <t>ORD088</t>
  </si>
  <si>
    <t>ORD089</t>
  </si>
  <si>
    <t>ORD090</t>
  </si>
  <si>
    <t>ORD091</t>
  </si>
  <si>
    <t>ORD092</t>
  </si>
  <si>
    <t>ORD093</t>
  </si>
  <si>
    <t>ORD094</t>
  </si>
  <si>
    <t>ORD095</t>
  </si>
  <si>
    <t>ORD096</t>
  </si>
  <si>
    <t>ORD097</t>
  </si>
  <si>
    <t>ORD098</t>
  </si>
  <si>
    <t>ORD099</t>
  </si>
  <si>
    <t>ORD100</t>
  </si>
  <si>
    <t>Total Sales</t>
  </si>
  <si>
    <t>Grand Total</t>
  </si>
  <si>
    <t>Sum of Total Sales</t>
  </si>
  <si>
    <t>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</si>
</sst>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4" formatCode="_(&quot;$&quot;* #,##0.00_);_(&quot;$&quot;* \(#,##0.00\);_(&quot;$&quot;* &quot;-&quot;??_);_(@_)"/>
    <numFmt numFmtId="164" formatCode="[$$-45C]#,##0;\-[$$-45C]#,##0"/>
    <numFmt numFmtId="165" formatCode="&quot;$&quot;#,##0"/>
  </numFmts>
  <fonts count="6" x14ac:knownFonts="1">
    <font>
      <sz val="11"/>
      <color theme="1"/>
      <name val="Aptos Narrow"/>
      <family val="2"/>
      <scheme val="minor"/>
    </font>
    <font>
      <sz val="11"/>
      <color theme="1"/>
      <name val="Aptos Narrow"/>
      <family val="2"/>
      <scheme val="minor"/>
    </font>
    <font>
      <sz val="12"/>
      <color theme="1"/>
      <name val="Times New Roman"/>
      <family val="1"/>
    </font>
    <font>
      <b/>
      <sz val="11"/>
      <color theme="1"/>
      <name val="Aptos Narrow"/>
      <family val="2"/>
      <scheme val="minor"/>
    </font>
    <font>
      <b/>
      <sz val="12"/>
      <color theme="1"/>
      <name val="Times New Roman"/>
      <family val="1"/>
    </font>
    <font>
      <b/>
      <sz val="12"/>
      <color theme="0"/>
      <name val="Times New Roman"/>
      <family val="1"/>
    </font>
  </fonts>
  <fills count="5">
    <fill>
      <patternFill patternType="none"/>
    </fill>
    <fill>
      <patternFill patternType="gray125"/>
    </fill>
    <fill>
      <patternFill patternType="solid">
        <fgColor rgb="FFFFFF00"/>
        <bgColor indexed="64"/>
      </patternFill>
    </fill>
    <fill>
      <patternFill patternType="solid">
        <fgColor rgb="FFFFC000"/>
        <bgColor indexed="64"/>
      </patternFill>
    </fill>
    <fill>
      <patternFill patternType="solid">
        <fgColor theme="4"/>
        <bgColor indexed="64"/>
      </patternFill>
    </fill>
  </fills>
  <borders count="1">
    <border>
      <left/>
      <right/>
      <top/>
      <bottom/>
      <diagonal/>
    </border>
  </borders>
  <cellStyleXfs count="2">
    <xf numFmtId="0" fontId="0" fillId="0" borderId="0"/>
    <xf numFmtId="44" fontId="1" fillId="0" borderId="0" applyFont="0" applyFill="0" applyBorder="0" applyAlignment="0" applyProtection="0"/>
  </cellStyleXfs>
  <cellXfs count="11">
    <xf numFmtId="0" fontId="0" fillId="0" borderId="0" xfId="0"/>
    <xf numFmtId="15" fontId="0" fillId="0" borderId="0" xfId="0" applyNumberFormat="1"/>
    <xf numFmtId="164" fontId="0" fillId="0" borderId="0" xfId="1" applyNumberFormat="1" applyFont="1"/>
    <xf numFmtId="165" fontId="0" fillId="0" borderId="0" xfId="0" applyNumberFormat="1"/>
    <xf numFmtId="0" fontId="2" fillId="0" borderId="0" xfId="0" pivotButton="1" applyFont="1"/>
    <xf numFmtId="0" fontId="2" fillId="0" borderId="0" xfId="0" applyFont="1"/>
    <xf numFmtId="165" fontId="2" fillId="0" borderId="0" xfId="0" applyNumberFormat="1" applyFont="1"/>
    <xf numFmtId="0" fontId="2" fillId="2" borderId="0" xfId="0" applyFont="1" applyFill="1"/>
    <xf numFmtId="165" fontId="4" fillId="3" borderId="0" xfId="0" applyNumberFormat="1" applyFont="1" applyFill="1"/>
    <xf numFmtId="0" fontId="3" fillId="0" borderId="0" xfId="0" applyFont="1"/>
    <xf numFmtId="0" fontId="5" fillId="4" borderId="0" xfId="0" applyFont="1" applyFill="1"/>
  </cellXfs>
  <cellStyles count="2">
    <cellStyle name="Currency" xfId="1" builtinId="4"/>
    <cellStyle name="Normal" xfId="0" builtinId="0"/>
  </cellStyles>
  <dxfs count="119">
    <dxf>
      <font>
        <b/>
      </font>
    </dxf>
    <dxf>
      <font>
        <color theme="0"/>
      </font>
    </dxf>
    <dxf>
      <fill>
        <patternFill>
          <bgColor theme="4"/>
        </patternFill>
      </fill>
    </dxf>
    <dxf>
      <fill>
        <patternFill>
          <bgColor rgb="FFFFFF00"/>
        </patternFill>
      </fill>
    </dxf>
    <dxf>
      <fill>
        <patternFill>
          <bgColor rgb="FFFFFF00"/>
        </patternFill>
      </fill>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sz val="12"/>
      </font>
    </dxf>
    <dxf>
      <font>
        <sz val="12"/>
      </font>
    </dxf>
    <dxf>
      <font>
        <sz val="12"/>
      </font>
    </dxf>
    <dxf>
      <font>
        <sz val="12"/>
      </font>
    </dxf>
    <dxf>
      <font>
        <sz val="12"/>
      </font>
    </dxf>
    <dxf>
      <fill>
        <patternFill patternType="solid">
          <bgColor rgb="FFFFFF00"/>
        </patternFill>
      </fill>
    </dxf>
    <dxf>
      <fill>
        <patternFill patternType="solid">
          <bgColor rgb="FFFFFF00"/>
        </patternFill>
      </fill>
    </dxf>
    <dxf>
      <fill>
        <patternFill>
          <bgColor rgb="FFFFFF00"/>
        </patternFill>
      </fill>
    </dxf>
    <dxf>
      <fill>
        <patternFill>
          <bgColor rgb="FFFFFF00"/>
        </patternFill>
      </fill>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sz val="12"/>
      </font>
    </dxf>
    <dxf>
      <font>
        <sz val="12"/>
      </font>
    </dxf>
    <dxf>
      <font>
        <sz val="12"/>
      </font>
    </dxf>
    <dxf>
      <font>
        <sz val="12"/>
      </font>
    </dxf>
    <dxf>
      <font>
        <sz val="12"/>
      </font>
    </dxf>
    <dxf>
      <fill>
        <patternFill patternType="solid">
          <bgColor rgb="FFFFFF00"/>
        </patternFill>
      </fill>
    </dxf>
    <dxf>
      <fill>
        <patternFill patternType="solid">
          <bgColor rgb="FFFFFF00"/>
        </patternFill>
      </fill>
    </dxf>
    <dxf>
      <font>
        <b/>
      </font>
    </dxf>
    <dxf>
      <fill>
        <patternFill>
          <bgColor rgb="FFFFC000"/>
        </patternFill>
      </fill>
    </dxf>
    <dxf>
      <fill>
        <patternFill patternType="solid">
          <bgColor rgb="FFFFFF00"/>
        </patternFill>
      </fill>
    </dxf>
    <dxf>
      <fill>
        <patternFill patternType="solid">
          <bgColor theme="9"/>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sz val="12"/>
      </font>
    </dxf>
    <dxf>
      <font>
        <sz val="12"/>
      </font>
    </dxf>
    <dxf>
      <font>
        <sz val="12"/>
      </font>
    </dxf>
    <dxf>
      <font>
        <sz val="12"/>
      </font>
    </dxf>
    <dxf>
      <font>
        <sz val="12"/>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sz val="12"/>
      </font>
    </dxf>
    <dxf>
      <font>
        <sz val="12"/>
      </font>
    </dxf>
    <dxf>
      <font>
        <sz val="12"/>
      </font>
    </dxf>
    <dxf>
      <font>
        <sz val="12"/>
      </font>
    </dxf>
    <dxf>
      <font>
        <sz val="12"/>
      </font>
    </dxf>
    <dxf>
      <numFmt numFmtId="165" formatCode="&quot;$&quot;#,##0"/>
    </dxf>
    <dxf>
      <numFmt numFmtId="165" formatCode="&quot;$&quot;#,##0"/>
    </dxf>
    <dxf>
      <numFmt numFmtId="164" formatCode="[$$-45C]#,##0;\-[$$-45C]#,##0"/>
    </dxf>
    <dxf>
      <numFmt numFmtId="20" formatCode="d\-mmm\-yy"/>
    </dxf>
    <dxf>
      <font>
        <sz val="12"/>
      </font>
    </dxf>
    <dxf>
      <font>
        <sz val="12"/>
      </font>
    </dxf>
    <dxf>
      <font>
        <sz val="12"/>
      </font>
    </dxf>
    <dxf>
      <font>
        <sz val="12"/>
      </font>
    </dxf>
    <dxf>
      <font>
        <sz val="12"/>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sz val="12"/>
      </font>
    </dxf>
    <dxf>
      <font>
        <sz val="12"/>
      </font>
    </dxf>
    <dxf>
      <font>
        <sz val="12"/>
      </font>
    </dxf>
    <dxf>
      <font>
        <sz val="12"/>
      </font>
    </dxf>
    <dxf>
      <font>
        <sz val="12"/>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sz val="12"/>
      </font>
    </dxf>
    <dxf>
      <font>
        <sz val="12"/>
      </font>
    </dxf>
    <dxf>
      <font>
        <sz val="12"/>
      </font>
    </dxf>
    <dxf>
      <font>
        <sz val="12"/>
      </font>
    </dxf>
    <dxf>
      <font>
        <sz val="12"/>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sz val="12"/>
      </font>
    </dxf>
    <dxf>
      <font>
        <sz val="12"/>
      </font>
    </dxf>
    <dxf>
      <font>
        <sz val="12"/>
      </font>
    </dxf>
    <dxf>
      <font>
        <sz val="12"/>
      </font>
    </dxf>
    <dxf>
      <font>
        <sz val="12"/>
      </font>
    </dxf>
    <dxf>
      <font>
        <sz val="12"/>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sz val="12"/>
      </font>
    </dxf>
    <dxf>
      <font>
        <sz val="12"/>
      </font>
    </dxf>
    <dxf>
      <font>
        <sz val="12"/>
      </font>
    </dxf>
    <dxf>
      <font>
        <sz val="12"/>
      </font>
    </dxf>
    <dxf>
      <font>
        <sz val="12"/>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4.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haredStrings" Target="sharedStrings.xml"/><Relationship Id="rId5" Type="http://schemas.microsoft.com/office/2007/relationships/slicerCache" Target="slicerCaches/slicerCache1.xml"/><Relationship Id="rId10" Type="http://schemas.openxmlformats.org/officeDocument/2006/relationships/styles" Target="styles.xml"/><Relationship Id="rId4" Type="http://schemas.openxmlformats.org/officeDocument/2006/relationships/pivotCacheDefinition" Target="pivotCache/pivotCacheDefinition1.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latin typeface="Times New Roman" panose="02020603050405020304" pitchFamily="18" charset="0"/>
                <a:cs typeface="Times New Roman" panose="02020603050405020304" pitchFamily="18" charset="0"/>
              </a:rPr>
              <a:t>Total Sales</a:t>
            </a:r>
          </a:p>
        </c:rich>
      </c:tx>
      <c:overlay val="0"/>
      <c:spPr>
        <a:solidFill>
          <a:schemeClr val="accent6">
            <a:lumMod val="40000"/>
            <a:lumOff val="60000"/>
          </a:schemeClr>
        </a:soli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dLbl>
          <c:idx val="0"/>
          <c:layout>
            <c:manualLayout>
              <c:x val="1.3072275361552959E-3"/>
              <c:y val="-0.24517776187067533"/>
            </c:manualLayout>
          </c:layout>
          <c:tx>
            <c:rich>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r>
                  <a:rPr lang="en-US" sz="1400" b="1">
                    <a:latin typeface="Times New Roman" panose="02020603050405020304" pitchFamily="18" charset="0"/>
                    <a:cs typeface="Times New Roman" panose="02020603050405020304" pitchFamily="18" charset="0"/>
                  </a:rPr>
                  <a:t>$294,670 </a:t>
                </a:r>
              </a:p>
            </c:rich>
          </c:tx>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29492141423498536"/>
                  <c:h val="0.24241269841269839"/>
                </c:manualLayout>
              </c15:layout>
              <c15:showDataLabelsRange val="0"/>
            </c:ext>
          </c:extLst>
        </c:dLbl>
      </c:pivotFmt>
    </c:pivotFmts>
    <c:plotArea>
      <c:layout>
        <c:manualLayout>
          <c:layoutTarget val="inner"/>
          <c:xMode val="edge"/>
          <c:yMode val="edge"/>
          <c:x val="0.26892141423498539"/>
          <c:y val="0.26904736907886512"/>
          <c:w val="0.3680395244712058"/>
          <c:h val="0.59587351581052372"/>
        </c:manualLayout>
      </c:layout>
      <c:doughnutChart>
        <c:varyColors val="1"/>
        <c:ser>
          <c:idx val="0"/>
          <c:order val="0"/>
          <c:tx>
            <c:v>Total</c:v>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2-9C56-4681-9D58-1BF9AE3488D6}"/>
              </c:ext>
            </c:extLst>
          </c:dPt>
          <c:dLbls>
            <c:dLbl>
              <c:idx val="0"/>
              <c:layout>
                <c:manualLayout>
                  <c:x val="1.3072275361552959E-3"/>
                  <c:y val="-0.24517776187067533"/>
                </c:manualLayout>
              </c:layout>
              <c:tx>
                <c:rich>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r>
                      <a:rPr lang="en-US" sz="1400" b="1">
                        <a:latin typeface="Times New Roman" panose="02020603050405020304" pitchFamily="18" charset="0"/>
                        <a:cs typeface="Times New Roman" panose="02020603050405020304" pitchFamily="18" charset="0"/>
                      </a:rPr>
                      <a:t>$294,670 </a:t>
                    </a:r>
                  </a:p>
                </c:rich>
              </c:tx>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29492141423498536"/>
                      <c:h val="0.24241269841269839"/>
                    </c:manualLayout>
                  </c15:layout>
                  <c15:showDataLabelsRange val="0"/>
                </c:ext>
                <c:ext xmlns:c16="http://schemas.microsoft.com/office/drawing/2014/chart" uri="{C3380CC4-5D6E-409C-BE32-E72D297353CC}">
                  <c16:uniqueId val="{00000002-9C56-4681-9D58-1BF9AE3488D6}"/>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Lit>
              <c:ptCount val="1"/>
              <c:pt idx="0">
                <c:v>Total</c:v>
              </c:pt>
            </c:strLit>
          </c:cat>
          <c:val>
            <c:numLit>
              <c:formatCode>General</c:formatCode>
              <c:ptCount val="1"/>
              <c:pt idx="0">
                <c:v>294670</c:v>
              </c:pt>
            </c:numLit>
          </c:val>
          <c:extLst>
            <c:ext xmlns:c16="http://schemas.microsoft.com/office/drawing/2014/chart" uri="{C3380CC4-5D6E-409C-BE32-E72D297353CC}">
              <c16:uniqueId val="{00000000-9C56-4681-9D58-1BF9AE3488D6}"/>
            </c:ext>
          </c:extLst>
        </c:ser>
        <c:dLbls>
          <c:showLegendKey val="0"/>
          <c:showVal val="1"/>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[Row data.xlsx]Pivot Table!PivotTable7</c:name>
    <c:fmtId val="18"/>
  </c:pivotSource>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en-US" sz="1400" b="1" i="0" u="none" strike="noStrike" cap="all" normalizeH="0" baseline="0"/>
              <a:t>Monthly Sales Trend</a:t>
            </a:r>
            <a:endParaRPr lang="en-US" sz="1400" b="1"/>
          </a:p>
        </c:rich>
      </c:tx>
      <c:overlay val="0"/>
      <c:spPr>
        <a:solidFill>
          <a:schemeClr val="accent6">
            <a:lumMod val="40000"/>
            <a:lumOff val="60000"/>
          </a:schemeClr>
        </a:solid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spPr>
          <a:pattFill prst="ltUpDiag">
            <a:fgClr>
              <a:schemeClr val="accent1"/>
            </a:fgClr>
            <a:bgClr>
              <a:schemeClr val="lt1"/>
            </a:bgClr>
          </a:pattFill>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pattFill prst="ltUpDiag">
            <a:fgClr>
              <a:schemeClr val="accent1"/>
            </a:fgClr>
            <a:bgClr>
              <a:schemeClr val="lt1"/>
            </a:bgClr>
          </a:pattFill>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layout>
            <c:manualLayout>
              <c:x val="-0.10383333333333333"/>
              <c:y val="-0.18746536891221929"/>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
        <c:spPr>
          <a:pattFill prst="ltUpDiag">
            <a:fgClr>
              <a:schemeClr val="accent1"/>
            </a:fgClr>
            <a:bgClr>
              <a:schemeClr val="lt1"/>
            </a:bgClr>
          </a:pattFill>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layout>
            <c:manualLayout>
              <c:x val="-6.7722222222222253E-2"/>
              <c:y val="-0.16431722076407124"/>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3"/>
        <c:spPr>
          <a:pattFill prst="ltUpDiag">
            <a:fgClr>
              <a:schemeClr val="accent1"/>
            </a:fgClr>
            <a:bgClr>
              <a:schemeClr val="lt1"/>
            </a:bgClr>
          </a:pattFill>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layout>
            <c:manualLayout>
              <c:x val="-5.6611111111111112E-2"/>
              <c:y val="-0.19209499854184897"/>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4"/>
        <c:spPr>
          <a:pattFill prst="ltUpDiag">
            <a:fgClr>
              <a:schemeClr val="accent1"/>
            </a:fgClr>
            <a:bgClr>
              <a:schemeClr val="lt1"/>
            </a:bgClr>
          </a:pattFill>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layout>
            <c:manualLayout>
              <c:x val="-6.7722222222222225E-2"/>
              <c:y val="-0.1272801837270341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5"/>
        <c:spPr>
          <a:pattFill prst="ltUpDiag">
            <a:fgClr>
              <a:schemeClr val="accent1"/>
            </a:fgClr>
            <a:bgClr>
              <a:schemeClr val="lt1"/>
            </a:bgClr>
          </a:pattFill>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layout>
            <c:manualLayout>
              <c:x val="-7.3277777777777775E-2"/>
              <c:y val="-0.19209499854184897"/>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6"/>
        <c:spPr>
          <a:pattFill prst="ltUpDiag">
            <a:fgClr>
              <a:schemeClr val="accent1"/>
            </a:fgClr>
            <a:bgClr>
              <a:schemeClr val="lt1"/>
            </a:bgClr>
          </a:pattFill>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layout>
            <c:manualLayout>
              <c:x val="-8.4388888888888888E-2"/>
              <c:y val="-0.1828357392825897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7"/>
        <c:spPr>
          <a:pattFill prst="ltUpDiag">
            <a:fgClr>
              <a:schemeClr val="accent1"/>
            </a:fgClr>
            <a:bgClr>
              <a:schemeClr val="lt1"/>
            </a:bgClr>
          </a:pattFill>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8"/>
        <c:spPr>
          <a:pattFill prst="ltUpDiag">
            <a:fgClr>
              <a:schemeClr val="accent1"/>
            </a:fgClr>
            <a:bgClr>
              <a:schemeClr val="lt1"/>
            </a:bgClr>
          </a:pattFill>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layout>
            <c:manualLayout>
              <c:x val="-0.10383333333333333"/>
              <c:y val="-0.18746536891221929"/>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9"/>
        <c:spPr>
          <a:pattFill prst="ltUpDiag">
            <a:fgClr>
              <a:schemeClr val="accent1"/>
            </a:fgClr>
            <a:bgClr>
              <a:schemeClr val="lt1"/>
            </a:bgClr>
          </a:pattFill>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layout>
            <c:manualLayout>
              <c:x val="-6.7722222222222253E-2"/>
              <c:y val="-0.16431722076407124"/>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0"/>
        <c:spPr>
          <a:pattFill prst="ltUpDiag">
            <a:fgClr>
              <a:schemeClr val="accent1"/>
            </a:fgClr>
            <a:bgClr>
              <a:schemeClr val="lt1"/>
            </a:bgClr>
          </a:pattFill>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layout>
            <c:manualLayout>
              <c:x val="-5.6611111111111112E-2"/>
              <c:y val="-0.19209499854184897"/>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1"/>
        <c:spPr>
          <a:pattFill prst="ltUpDiag">
            <a:fgClr>
              <a:schemeClr val="accent1"/>
            </a:fgClr>
            <a:bgClr>
              <a:schemeClr val="lt1"/>
            </a:bgClr>
          </a:pattFill>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layout>
            <c:manualLayout>
              <c:x val="-6.7722222222222225E-2"/>
              <c:y val="-0.1272801837270341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2"/>
        <c:spPr>
          <a:pattFill prst="ltUpDiag">
            <a:fgClr>
              <a:schemeClr val="accent1"/>
            </a:fgClr>
            <a:bgClr>
              <a:schemeClr val="lt1"/>
            </a:bgClr>
          </a:pattFill>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layout>
            <c:manualLayout>
              <c:x val="-7.3277777777777775E-2"/>
              <c:y val="-0.19209499854184897"/>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3"/>
        <c:spPr>
          <a:pattFill prst="ltUpDiag">
            <a:fgClr>
              <a:schemeClr val="accent1"/>
            </a:fgClr>
            <a:bgClr>
              <a:schemeClr val="lt1"/>
            </a:bgClr>
          </a:pattFill>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layout>
            <c:manualLayout>
              <c:x val="-8.4388888888888888E-2"/>
              <c:y val="-0.1828357392825897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4"/>
        <c:spPr>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5"/>
        <c:spPr>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layout>
            <c:manualLayout>
              <c:x val="-0.10383333333333333"/>
              <c:y val="-0.18746536891221929"/>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6"/>
        <c:spPr>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layout>
            <c:manualLayout>
              <c:x val="-6.7722222222222253E-2"/>
              <c:y val="-0.16431722076407124"/>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7"/>
        <c:spPr>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layout>
            <c:manualLayout>
              <c:x val="-5.6611111111111112E-2"/>
              <c:y val="-0.19209499854184897"/>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8"/>
        <c:spPr>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layout>
            <c:manualLayout>
              <c:x val="-6.7722222222222225E-2"/>
              <c:y val="-0.1272801837270341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9"/>
        <c:spPr>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layout>
            <c:manualLayout>
              <c:x val="-7.3277777777777775E-2"/>
              <c:y val="-0.19209499854184897"/>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0"/>
        <c:spPr>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layout>
            <c:manualLayout>
              <c:x val="-8.4388888888888888E-2"/>
              <c:y val="-0.1828357392825897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3825193816090914E-2"/>
          <c:y val="0.19331325301204821"/>
          <c:w val="0.84139638614537349"/>
          <c:h val="0.3859259083578408"/>
        </c:manualLayout>
      </c:layout>
      <c:lineChart>
        <c:grouping val="standard"/>
        <c:varyColors val="0"/>
        <c:ser>
          <c:idx val="0"/>
          <c:order val="0"/>
          <c:tx>
            <c:strRef>
              <c:f>'Pivot Table'!$X$19</c:f>
              <c:strCache>
                <c:ptCount val="1"/>
                <c:pt idx="0">
                  <c:v>Total</c:v>
                </c:pt>
              </c:strCache>
            </c:strRef>
          </c:tx>
          <c:spPr>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Pt>
            <c:idx val="0"/>
            <c:marker>
              <c:symbol val="circle"/>
              <c:size val="5"/>
              <c:spPr>
                <a:solidFill>
                  <a:schemeClr val="accent1"/>
                </a:solidFill>
                <a:ln w="22225">
                  <a:solidFill>
                    <a:schemeClr val="lt1"/>
                  </a:solidFill>
                  <a:round/>
                </a:ln>
                <a:effectLst/>
              </c:spPr>
            </c:marker>
            <c:bubble3D val="0"/>
            <c:spPr>
              <a:ln w="34925" cap="rnd">
                <a:solidFill>
                  <a:schemeClr val="lt1"/>
                </a:solidFill>
                <a:round/>
              </a:ln>
              <a:effectLst>
                <a:outerShdw dist="25400" dir="2700000" algn="tl" rotWithShape="0">
                  <a:schemeClr val="accent1"/>
                </a:outerShdw>
              </a:effectLst>
            </c:spPr>
            <c:extLst>
              <c:ext xmlns:c16="http://schemas.microsoft.com/office/drawing/2014/chart" uri="{C3380CC4-5D6E-409C-BE32-E72D297353CC}">
                <c16:uniqueId val="{00000000-DCAF-4FD2-9522-E51573BCDC4A}"/>
              </c:ext>
            </c:extLst>
          </c:dPt>
          <c:dPt>
            <c:idx val="2"/>
            <c:marker>
              <c:symbol val="circle"/>
              <c:size val="5"/>
              <c:spPr>
                <a:solidFill>
                  <a:schemeClr val="accent1"/>
                </a:solidFill>
                <a:ln w="22225">
                  <a:solidFill>
                    <a:schemeClr val="lt1"/>
                  </a:solidFill>
                  <a:round/>
                </a:ln>
                <a:effectLst/>
              </c:spPr>
            </c:marker>
            <c:bubble3D val="0"/>
            <c:spPr>
              <a:ln w="34925" cap="rnd">
                <a:solidFill>
                  <a:schemeClr val="lt1"/>
                </a:solidFill>
                <a:round/>
              </a:ln>
              <a:effectLst>
                <a:outerShdw dist="25400" dir="2700000" algn="tl" rotWithShape="0">
                  <a:schemeClr val="accent1"/>
                </a:outerShdw>
              </a:effectLst>
            </c:spPr>
            <c:extLst>
              <c:ext xmlns:c16="http://schemas.microsoft.com/office/drawing/2014/chart" uri="{C3380CC4-5D6E-409C-BE32-E72D297353CC}">
                <c16:uniqueId val="{00000001-DCAF-4FD2-9522-E51573BCDC4A}"/>
              </c:ext>
            </c:extLst>
          </c:dPt>
          <c:dPt>
            <c:idx val="4"/>
            <c:marker>
              <c:symbol val="circle"/>
              <c:size val="5"/>
              <c:spPr>
                <a:solidFill>
                  <a:schemeClr val="accent1"/>
                </a:solidFill>
                <a:ln w="22225">
                  <a:solidFill>
                    <a:schemeClr val="lt1"/>
                  </a:solidFill>
                  <a:round/>
                </a:ln>
                <a:effectLst/>
              </c:spPr>
            </c:marker>
            <c:bubble3D val="0"/>
            <c:spPr>
              <a:ln w="34925" cap="rnd">
                <a:solidFill>
                  <a:schemeClr val="lt1"/>
                </a:solidFill>
                <a:round/>
              </a:ln>
              <a:effectLst>
                <a:outerShdw dist="25400" dir="2700000" algn="tl" rotWithShape="0">
                  <a:schemeClr val="accent1"/>
                </a:outerShdw>
              </a:effectLst>
            </c:spPr>
            <c:extLst>
              <c:ext xmlns:c16="http://schemas.microsoft.com/office/drawing/2014/chart" uri="{C3380CC4-5D6E-409C-BE32-E72D297353CC}">
                <c16:uniqueId val="{00000002-DCAF-4FD2-9522-E51573BCDC4A}"/>
              </c:ext>
            </c:extLst>
          </c:dPt>
          <c:dPt>
            <c:idx val="6"/>
            <c:marker>
              <c:symbol val="circle"/>
              <c:size val="5"/>
              <c:spPr>
                <a:solidFill>
                  <a:schemeClr val="accent1"/>
                </a:solidFill>
                <a:ln w="22225">
                  <a:solidFill>
                    <a:schemeClr val="lt1"/>
                  </a:solidFill>
                  <a:round/>
                </a:ln>
                <a:effectLst/>
              </c:spPr>
            </c:marker>
            <c:bubble3D val="0"/>
            <c:spPr>
              <a:ln w="34925" cap="rnd">
                <a:solidFill>
                  <a:schemeClr val="lt1"/>
                </a:solidFill>
                <a:round/>
              </a:ln>
              <a:effectLst>
                <a:outerShdw dist="25400" dir="2700000" algn="tl" rotWithShape="0">
                  <a:schemeClr val="accent1"/>
                </a:outerShdw>
              </a:effectLst>
            </c:spPr>
            <c:extLst>
              <c:ext xmlns:c16="http://schemas.microsoft.com/office/drawing/2014/chart" uri="{C3380CC4-5D6E-409C-BE32-E72D297353CC}">
                <c16:uniqueId val="{00000003-DCAF-4FD2-9522-E51573BCDC4A}"/>
              </c:ext>
            </c:extLst>
          </c:dPt>
          <c:dPt>
            <c:idx val="8"/>
            <c:marker>
              <c:symbol val="circle"/>
              <c:size val="5"/>
              <c:spPr>
                <a:solidFill>
                  <a:schemeClr val="accent1"/>
                </a:solidFill>
                <a:ln w="22225">
                  <a:solidFill>
                    <a:schemeClr val="lt1"/>
                  </a:solidFill>
                  <a:round/>
                </a:ln>
                <a:effectLst/>
              </c:spPr>
            </c:marker>
            <c:bubble3D val="0"/>
            <c:spPr>
              <a:ln w="34925" cap="rnd">
                <a:solidFill>
                  <a:schemeClr val="lt1"/>
                </a:solidFill>
                <a:round/>
              </a:ln>
              <a:effectLst>
                <a:outerShdw dist="25400" dir="2700000" algn="tl" rotWithShape="0">
                  <a:schemeClr val="accent1"/>
                </a:outerShdw>
              </a:effectLst>
            </c:spPr>
            <c:extLst>
              <c:ext xmlns:c16="http://schemas.microsoft.com/office/drawing/2014/chart" uri="{C3380CC4-5D6E-409C-BE32-E72D297353CC}">
                <c16:uniqueId val="{00000004-DCAF-4FD2-9522-E51573BCDC4A}"/>
              </c:ext>
            </c:extLst>
          </c:dPt>
          <c:dPt>
            <c:idx val="10"/>
            <c:marker>
              <c:symbol val="circle"/>
              <c:size val="5"/>
              <c:spPr>
                <a:solidFill>
                  <a:schemeClr val="accent1"/>
                </a:solidFill>
                <a:ln w="22225">
                  <a:solidFill>
                    <a:schemeClr val="lt1"/>
                  </a:solidFill>
                  <a:round/>
                </a:ln>
                <a:effectLst/>
              </c:spPr>
            </c:marker>
            <c:bubble3D val="0"/>
            <c:spPr>
              <a:ln w="34925" cap="rnd">
                <a:solidFill>
                  <a:schemeClr val="lt1"/>
                </a:solidFill>
                <a:round/>
              </a:ln>
              <a:effectLst>
                <a:outerShdw dist="25400" dir="2700000" algn="tl" rotWithShape="0">
                  <a:schemeClr val="accent1"/>
                </a:outerShdw>
              </a:effectLst>
            </c:spPr>
            <c:extLst>
              <c:ext xmlns:c16="http://schemas.microsoft.com/office/drawing/2014/chart" uri="{C3380CC4-5D6E-409C-BE32-E72D297353CC}">
                <c16:uniqueId val="{00000005-DCAF-4FD2-9522-E51573BCDC4A}"/>
              </c:ext>
            </c:extLst>
          </c:dPt>
          <c:dLbls>
            <c:dLbl>
              <c:idx val="0"/>
              <c:layout>
                <c:manualLayout>
                  <c:x val="-0.10383333333333333"/>
                  <c:y val="-0.18746536891221929"/>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DCAF-4FD2-9522-E51573BCDC4A}"/>
                </c:ext>
              </c:extLst>
            </c:dLbl>
            <c:dLbl>
              <c:idx val="2"/>
              <c:layout>
                <c:manualLayout>
                  <c:x val="-6.7722222222222253E-2"/>
                  <c:y val="-0.16431722076407124"/>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DCAF-4FD2-9522-E51573BCDC4A}"/>
                </c:ext>
              </c:extLst>
            </c:dLbl>
            <c:dLbl>
              <c:idx val="4"/>
              <c:layout>
                <c:manualLayout>
                  <c:x val="-5.6611111111111112E-2"/>
                  <c:y val="-0.19209499854184897"/>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DCAF-4FD2-9522-E51573BCDC4A}"/>
                </c:ext>
              </c:extLst>
            </c:dLbl>
            <c:dLbl>
              <c:idx val="6"/>
              <c:layout>
                <c:manualLayout>
                  <c:x val="-6.7722222222222225E-2"/>
                  <c:y val="-0.1272801837270341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DCAF-4FD2-9522-E51573BCDC4A}"/>
                </c:ext>
              </c:extLst>
            </c:dLbl>
            <c:dLbl>
              <c:idx val="8"/>
              <c:layout>
                <c:manualLayout>
                  <c:x val="-7.3277777777777775E-2"/>
                  <c:y val="-0.19209499854184897"/>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DCAF-4FD2-9522-E51573BCDC4A}"/>
                </c:ext>
              </c:extLst>
            </c:dLbl>
            <c:dLbl>
              <c:idx val="10"/>
              <c:layout>
                <c:manualLayout>
                  <c:x val="-8.4388888888888888E-2"/>
                  <c:y val="-0.18283573928258973"/>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DCAF-4FD2-9522-E51573BCDC4A}"/>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'Pivot Table'!$W$20:$W$32</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'Pivot Table'!$X$20:$X$32</c:f>
              <c:numCache>
                <c:formatCode>"$"#,##0</c:formatCode>
                <c:ptCount val="12"/>
                <c:pt idx="0">
                  <c:v>17930</c:v>
                </c:pt>
                <c:pt idx="1">
                  <c:v>16325</c:v>
                </c:pt>
                <c:pt idx="2">
                  <c:v>17200</c:v>
                </c:pt>
                <c:pt idx="3">
                  <c:v>19000</c:v>
                </c:pt>
                <c:pt idx="4">
                  <c:v>20970</c:v>
                </c:pt>
                <c:pt idx="5">
                  <c:v>19065</c:v>
                </c:pt>
                <c:pt idx="6">
                  <c:v>19960</c:v>
                </c:pt>
                <c:pt idx="7">
                  <c:v>21810</c:v>
                </c:pt>
                <c:pt idx="8">
                  <c:v>20725</c:v>
                </c:pt>
                <c:pt idx="9">
                  <c:v>24680</c:v>
                </c:pt>
                <c:pt idx="10">
                  <c:v>20885</c:v>
                </c:pt>
                <c:pt idx="11">
                  <c:v>76120</c:v>
                </c:pt>
              </c:numCache>
            </c:numRef>
          </c:val>
          <c:smooth val="0"/>
          <c:extLst>
            <c:ext xmlns:c16="http://schemas.microsoft.com/office/drawing/2014/chart" uri="{C3380CC4-5D6E-409C-BE32-E72D297353CC}">
              <c16:uniqueId val="{00000006-DCAF-4FD2-9522-E51573BCDC4A}"/>
            </c:ext>
          </c:extLst>
        </c:ser>
        <c:dLbls>
          <c:dLblPos val="t"/>
          <c:showLegendKey val="0"/>
          <c:showVal val="1"/>
          <c:showCatName val="0"/>
          <c:showSerName val="0"/>
          <c:showPercent val="0"/>
          <c:showBubbleSize val="0"/>
        </c:dLbls>
        <c:dropLines>
          <c:spPr>
            <a:ln w="9525" cap="flat" cmpd="sng" algn="ctr">
              <a:gradFill>
                <a:gsLst>
                  <a:gs pos="0">
                    <a:schemeClr val="lt1"/>
                  </a:gs>
                  <a:gs pos="100000">
                    <a:schemeClr val="lt1">
                      <a:alpha val="0"/>
                    </a:schemeClr>
                  </a:gs>
                </a:gsLst>
                <a:lin ang="5400000" scaled="0"/>
              </a:gradFill>
              <a:round/>
            </a:ln>
            <a:effectLst/>
          </c:spPr>
        </c:dropLines>
        <c:marker val="1"/>
        <c:smooth val="0"/>
        <c:axId val="97855552"/>
        <c:axId val="2121944048"/>
      </c:lineChart>
      <c:catAx>
        <c:axId val="97855552"/>
        <c:scaling>
          <c:orientation val="minMax"/>
        </c:scaling>
        <c:delete val="0"/>
        <c:axPos val="b"/>
        <c:numFmt formatCode="General" sourceLinked="1"/>
        <c:majorTickMark val="none"/>
        <c:minorTickMark val="none"/>
        <c:tickLblPos val="nextTo"/>
        <c:spPr>
          <a:noFill/>
          <a:ln w="12700" cap="flat" cmpd="sng" algn="ctr">
            <a:solidFill>
              <a:schemeClr val="lt1"/>
            </a:solidFill>
            <a:round/>
          </a:ln>
          <a:effectLst/>
        </c:spPr>
        <c:txPr>
          <a:bodyPr rot="-60000000" spcFirstLastPara="1" vertOverflow="ellipsis" vert="horz" wrap="square" anchor="ctr" anchorCtr="1"/>
          <a:lstStyle/>
          <a:p>
            <a:pPr>
              <a:defRPr sz="1100" b="1" i="0" u="none" strike="noStrike" kern="1200" spc="100" baseline="0">
                <a:solidFill>
                  <a:schemeClr val="accent6">
                    <a:lumMod val="60000"/>
                    <a:lumOff val="40000"/>
                  </a:schemeClr>
                </a:solidFill>
                <a:latin typeface="+mn-lt"/>
                <a:ea typeface="+mn-ea"/>
                <a:cs typeface="+mn-cs"/>
              </a:defRPr>
            </a:pPr>
            <a:endParaRPr lang="en-US"/>
          </a:p>
        </c:txPr>
        <c:crossAx val="2121944048"/>
        <c:crosses val="autoZero"/>
        <c:auto val="1"/>
        <c:lblAlgn val="ctr"/>
        <c:lblOffset val="100"/>
        <c:noMultiLvlLbl val="0"/>
      </c:catAx>
      <c:valAx>
        <c:axId val="2121944048"/>
        <c:scaling>
          <c:orientation val="minMax"/>
        </c:scaling>
        <c:delete val="1"/>
        <c:axPos val="l"/>
        <c:numFmt formatCode="&quot;$&quot;#,##0" sourceLinked="1"/>
        <c:majorTickMark val="none"/>
        <c:minorTickMark val="none"/>
        <c:tickLblPos val="nextTo"/>
        <c:crossAx val="978555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[Row data.xlsx]Pivot Table!PivotTable1</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latin typeface="Times New Roman" panose="02020603050405020304" pitchFamily="18" charset="0"/>
                <a:cs typeface="Times New Roman" panose="02020603050405020304" pitchFamily="18" charset="0"/>
              </a:rPr>
              <a:t>Sales By Product</a:t>
            </a:r>
          </a:p>
        </c:rich>
      </c:tx>
      <c:layout>
        <c:manualLayout>
          <c:xMode val="edge"/>
          <c:yMode val="edge"/>
          <c:x val="0.35880239520958085"/>
          <c:y val="1.5024473292189831E-2"/>
        </c:manualLayout>
      </c:layout>
      <c:overlay val="0"/>
      <c:spPr>
        <a:solidFill>
          <a:schemeClr val="accent6">
            <a:lumMod val="20000"/>
            <a:lumOff val="80000"/>
          </a:schemeClr>
        </a:soli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accent1"/>
          </a:solidFill>
          <a:ln>
            <a:noFill/>
          </a:ln>
          <a:effectLst/>
        </c:spPr>
      </c:pivotFmt>
      <c:pivotFmt>
        <c:idx val="6"/>
        <c:spPr>
          <a:solidFill>
            <a:schemeClr val="accent1"/>
          </a:solidFill>
          <a:ln>
            <a:noFill/>
          </a:ln>
          <a:effectLst/>
        </c:spPr>
      </c:pivotFmt>
      <c:pivotFmt>
        <c:idx val="7"/>
        <c:spPr>
          <a:solidFill>
            <a:schemeClr val="accent1"/>
          </a:solidFill>
          <a:ln>
            <a:noFill/>
          </a:ln>
          <a:effectLst/>
        </c:spPr>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pivotFmt>
      <c:pivotFmt>
        <c:idx val="10"/>
        <c:spPr>
          <a:solidFill>
            <a:schemeClr val="accent1"/>
          </a:solidFill>
          <a:ln>
            <a:noFill/>
          </a:ln>
          <a:effectLst/>
        </c:spPr>
      </c:pivotFmt>
      <c:pivotFmt>
        <c:idx val="11"/>
        <c:spPr>
          <a:solidFill>
            <a:schemeClr val="accent1"/>
          </a:solidFill>
          <a:ln>
            <a:noFill/>
          </a:ln>
          <a:effectLst/>
        </c:spPr>
      </c:pivotFmt>
      <c:pivotFmt>
        <c:idx val="12"/>
        <c:spPr>
          <a:solidFill>
            <a:schemeClr val="accent1"/>
          </a:solidFill>
          <a:ln>
            <a:noFill/>
          </a:ln>
          <a:effectLst/>
        </c:spPr>
      </c:pivotFmt>
      <c:pivotFmt>
        <c:idx val="13"/>
        <c:spPr>
          <a:solidFill>
            <a:schemeClr val="accent1"/>
          </a:solidFill>
          <a:ln>
            <a:noFill/>
          </a:ln>
          <a:effectLst/>
        </c:spPr>
      </c:pivotFmt>
      <c:pivotFmt>
        <c:idx val="14"/>
        <c:spPr>
          <a:solidFill>
            <a:schemeClr val="accent1"/>
          </a:solidFill>
          <a:ln>
            <a:noFill/>
          </a:ln>
          <a:effectLst/>
        </c:spPr>
      </c:pivotFmt>
      <c:pivotFmt>
        <c:idx val="15"/>
        <c:spPr>
          <a:solidFill>
            <a:schemeClr val="accent1"/>
          </a:solidFill>
          <a:ln>
            <a:noFill/>
          </a:ln>
          <a:effectLst/>
        </c:spPr>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dLbl>
          <c:idx val="0"/>
          <c:layout>
            <c:manualLayout>
              <c:x val="-2.2522522522522563E-2"/>
              <c:y val="-2.9850746268656771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pivotFmt>
      <c:pivotFmt>
        <c:idx val="19"/>
        <c:spPr>
          <a:solidFill>
            <a:schemeClr val="accent1"/>
          </a:solidFill>
          <a:ln>
            <a:noFill/>
          </a:ln>
          <a:effectLst/>
        </c:spPr>
        <c:dLbl>
          <c:idx val="0"/>
          <c:layout>
            <c:manualLayout>
              <c:x val="-6.5315315315315384E-2"/>
              <c:y val="3.2835820895522373E-2"/>
            </c:manualLayout>
          </c:layout>
          <c:spPr>
            <a:noFill/>
            <a:ln>
              <a:noFill/>
            </a:ln>
            <a:effectLst/>
          </c:spPr>
          <c:txPr>
            <a:bodyPr rot="0" spcFirstLastPara="1" vertOverflow="ellipsis" vert="horz" wrap="square" lIns="38100" tIns="19050" rIns="38100" bIns="19050" anchor="ctr" anchorCtr="1">
              <a:noAutofit/>
            </a:bodyPr>
            <a:lstStyle/>
            <a:p>
              <a:pPr>
                <a:defRPr sz="1050" b="1"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5731964247712275"/>
                  <c:h val="0.15605970149253728"/>
                </c:manualLayout>
              </c15:layout>
            </c:ext>
          </c:extLst>
        </c:dLbl>
      </c:pivotFmt>
      <c:pivotFmt>
        <c:idx val="20"/>
        <c:spPr>
          <a:solidFill>
            <a:schemeClr val="accent1"/>
          </a:solidFill>
          <a:ln>
            <a:noFill/>
          </a:ln>
          <a:effectLst/>
        </c:spPr>
      </c:pivotFmt>
      <c:pivotFmt>
        <c:idx val="21"/>
        <c:spPr>
          <a:solidFill>
            <a:schemeClr val="accent1"/>
          </a:solidFill>
          <a:ln>
            <a:noFill/>
          </a:ln>
          <a:effectLst/>
        </c:spPr>
        <c:dLbl>
          <c:idx val="0"/>
          <c:layout>
            <c:manualLayout>
              <c:x val="2.2522522522522521E-2"/>
              <c:y val="-0.1313432835820896"/>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dLbl>
          <c:idx val="0"/>
          <c:layout>
            <c:manualLayout>
              <c:x val="-8.2581628592562116E-17"/>
              <c:y val="-9.5522388059701493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pivotFmt>
    </c:pivotFmts>
    <c:plotArea>
      <c:layout/>
      <c:barChart>
        <c:barDir val="col"/>
        <c:grouping val="clustered"/>
        <c:varyColors val="1"/>
        <c:ser>
          <c:idx val="0"/>
          <c:order val="0"/>
          <c:tx>
            <c:strRef>
              <c:f>'Pivot Table'!$B$3</c:f>
              <c:strCache>
                <c:ptCount val="1"/>
                <c:pt idx="0">
                  <c:v>Total</c:v>
                </c:pt>
              </c:strCache>
            </c:strRef>
          </c:tx>
          <c:invertIfNegative val="0"/>
          <c:dPt>
            <c:idx val="0"/>
            <c:invertIfNegative val="0"/>
            <c:bubble3D val="0"/>
            <c:spPr>
              <a:solidFill>
                <a:schemeClr val="accent1"/>
              </a:solidFill>
              <a:ln>
                <a:noFill/>
              </a:ln>
              <a:effectLst/>
            </c:spPr>
            <c:extLst>
              <c:ext xmlns:c16="http://schemas.microsoft.com/office/drawing/2014/chart" uri="{C3380CC4-5D6E-409C-BE32-E72D297353CC}">
                <c16:uniqueId val="{00000001-65FB-414F-BBD7-67BEAF108C2C}"/>
              </c:ext>
            </c:extLst>
          </c:dPt>
          <c:dPt>
            <c:idx val="1"/>
            <c:invertIfNegative val="0"/>
            <c:bubble3D val="0"/>
            <c:spPr>
              <a:solidFill>
                <a:schemeClr val="accent2"/>
              </a:solidFill>
              <a:ln>
                <a:noFill/>
              </a:ln>
              <a:effectLst/>
            </c:spPr>
            <c:extLst>
              <c:ext xmlns:c16="http://schemas.microsoft.com/office/drawing/2014/chart" uri="{C3380CC4-5D6E-409C-BE32-E72D297353CC}">
                <c16:uniqueId val="{00000003-65FB-414F-BBD7-67BEAF108C2C}"/>
              </c:ext>
            </c:extLst>
          </c:dPt>
          <c:dPt>
            <c:idx val="2"/>
            <c:invertIfNegative val="0"/>
            <c:bubble3D val="0"/>
            <c:spPr>
              <a:solidFill>
                <a:schemeClr val="accent3"/>
              </a:solidFill>
              <a:ln>
                <a:noFill/>
              </a:ln>
              <a:effectLst/>
            </c:spPr>
            <c:extLst>
              <c:ext xmlns:c16="http://schemas.microsoft.com/office/drawing/2014/chart" uri="{C3380CC4-5D6E-409C-BE32-E72D297353CC}">
                <c16:uniqueId val="{00000005-65FB-414F-BBD7-67BEAF108C2C}"/>
              </c:ext>
            </c:extLst>
          </c:dPt>
          <c:dPt>
            <c:idx val="3"/>
            <c:invertIfNegative val="0"/>
            <c:bubble3D val="0"/>
            <c:spPr>
              <a:solidFill>
                <a:schemeClr val="accent4"/>
              </a:solidFill>
              <a:ln>
                <a:noFill/>
              </a:ln>
              <a:effectLst/>
            </c:spPr>
            <c:extLst>
              <c:ext xmlns:c16="http://schemas.microsoft.com/office/drawing/2014/chart" uri="{C3380CC4-5D6E-409C-BE32-E72D297353CC}">
                <c16:uniqueId val="{00000007-65FB-414F-BBD7-67BEAF108C2C}"/>
              </c:ext>
            </c:extLst>
          </c:dPt>
          <c:dPt>
            <c:idx val="4"/>
            <c:invertIfNegative val="0"/>
            <c:bubble3D val="0"/>
            <c:spPr>
              <a:solidFill>
                <a:schemeClr val="accent5"/>
              </a:solidFill>
              <a:ln>
                <a:noFill/>
              </a:ln>
              <a:effectLst/>
            </c:spPr>
            <c:extLst>
              <c:ext xmlns:c16="http://schemas.microsoft.com/office/drawing/2014/chart" uri="{C3380CC4-5D6E-409C-BE32-E72D297353CC}">
                <c16:uniqueId val="{00000009-65FB-414F-BBD7-67BEAF108C2C}"/>
              </c:ext>
            </c:extLst>
          </c:dPt>
          <c:dPt>
            <c:idx val="5"/>
            <c:invertIfNegative val="0"/>
            <c:bubble3D val="0"/>
            <c:spPr>
              <a:solidFill>
                <a:schemeClr val="accent6"/>
              </a:solidFill>
              <a:ln>
                <a:noFill/>
              </a:ln>
              <a:effectLst/>
            </c:spPr>
            <c:extLst>
              <c:ext xmlns:c16="http://schemas.microsoft.com/office/drawing/2014/chart" uri="{C3380CC4-5D6E-409C-BE32-E72D297353CC}">
                <c16:uniqueId val="{0000000B-65FB-414F-BBD7-67BEAF108C2C}"/>
              </c:ext>
            </c:extLst>
          </c:dPt>
          <c:dPt>
            <c:idx val="6"/>
            <c:invertIfNegative val="0"/>
            <c:bubble3D val="0"/>
            <c:spPr>
              <a:solidFill>
                <a:schemeClr val="accent1">
                  <a:lumMod val="60000"/>
                </a:schemeClr>
              </a:solidFill>
              <a:ln>
                <a:noFill/>
              </a:ln>
              <a:effectLst/>
            </c:spPr>
            <c:extLst>
              <c:ext xmlns:c16="http://schemas.microsoft.com/office/drawing/2014/chart" uri="{C3380CC4-5D6E-409C-BE32-E72D297353CC}">
                <c16:uniqueId val="{0000000D-65FB-414F-BBD7-67BEAF108C2C}"/>
              </c:ext>
            </c:extLst>
          </c:dPt>
          <c:dLbls>
            <c:dLbl>
              <c:idx val="0"/>
              <c:layout>
                <c:manualLayout>
                  <c:x val="-6.5315315315315384E-2"/>
                  <c:y val="3.2835820895522373E-2"/>
                </c:manualLayout>
              </c:layout>
              <c:spPr>
                <a:noFill/>
                <a:ln>
                  <a:noFill/>
                </a:ln>
                <a:effectLst/>
              </c:spPr>
              <c:txPr>
                <a:bodyPr rot="0" spcFirstLastPara="1" vertOverflow="ellipsis" vert="horz" wrap="square" lIns="38100" tIns="19050" rIns="38100" bIns="19050" anchor="ctr" anchorCtr="1">
                  <a:noAutofit/>
                </a:bodyPr>
                <a:lstStyle/>
                <a:p>
                  <a:pPr>
                    <a:defRPr sz="1050" b="1"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5731964247712275"/>
                      <c:h val="0.15605970149253728"/>
                    </c:manualLayout>
                  </c15:layout>
                </c:ext>
                <c:ext xmlns:c16="http://schemas.microsoft.com/office/drawing/2014/chart" uri="{C3380CC4-5D6E-409C-BE32-E72D297353CC}">
                  <c16:uniqueId val="{00000001-65FB-414F-BBD7-67BEAF108C2C}"/>
                </c:ext>
              </c:extLst>
            </c:dLbl>
            <c:dLbl>
              <c:idx val="2"/>
              <c:layout>
                <c:manualLayout>
                  <c:x val="-2.2522522522522563E-2"/>
                  <c:y val="-2.9850746268656771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65FB-414F-BBD7-67BEAF108C2C}"/>
                </c:ext>
              </c:extLst>
            </c:dLbl>
            <c:dLbl>
              <c:idx val="4"/>
              <c:layout>
                <c:manualLayout>
                  <c:x val="-8.2581628592562116E-17"/>
                  <c:y val="-9.5522388059701493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65FB-414F-BBD7-67BEAF108C2C}"/>
                </c:ext>
              </c:extLst>
            </c:dLbl>
            <c:dLbl>
              <c:idx val="6"/>
              <c:layout>
                <c:manualLayout>
                  <c:x val="2.2522522522522521E-2"/>
                  <c:y val="-0.1313432835820896"/>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65FB-414F-BBD7-67BEAF108C2C}"/>
                </c:ext>
              </c:extLst>
            </c:dLbl>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Table'!$A$4:$A$11</c:f>
              <c:strCache>
                <c:ptCount val="7"/>
                <c:pt idx="0">
                  <c:v>Laptop</c:v>
                </c:pt>
                <c:pt idx="1">
                  <c:v>Smartphone</c:v>
                </c:pt>
                <c:pt idx="2">
                  <c:v>Desktop Computer</c:v>
                </c:pt>
                <c:pt idx="3">
                  <c:v>Monitor</c:v>
                </c:pt>
                <c:pt idx="4">
                  <c:v>Printer</c:v>
                </c:pt>
                <c:pt idx="5">
                  <c:v>Keyboard</c:v>
                </c:pt>
                <c:pt idx="6">
                  <c:v>Mouse</c:v>
                </c:pt>
              </c:strCache>
            </c:strRef>
          </c:cat>
          <c:val>
            <c:numRef>
              <c:f>'Pivot Table'!$B$4:$B$11</c:f>
              <c:numCache>
                <c:formatCode>"$"#,##0</c:formatCode>
                <c:ptCount val="7"/>
                <c:pt idx="0">
                  <c:v>108000</c:v>
                </c:pt>
                <c:pt idx="1">
                  <c:v>75600</c:v>
                </c:pt>
                <c:pt idx="2">
                  <c:v>40950</c:v>
                </c:pt>
                <c:pt idx="3">
                  <c:v>31500</c:v>
                </c:pt>
                <c:pt idx="4">
                  <c:v>24360</c:v>
                </c:pt>
                <c:pt idx="5">
                  <c:v>8910</c:v>
                </c:pt>
                <c:pt idx="6">
                  <c:v>5350</c:v>
                </c:pt>
              </c:numCache>
            </c:numRef>
          </c:val>
          <c:extLst>
            <c:ext xmlns:c16="http://schemas.microsoft.com/office/drawing/2014/chart" uri="{C3380CC4-5D6E-409C-BE32-E72D297353CC}">
              <c16:uniqueId val="{0000000E-65FB-414F-BBD7-67BEAF108C2C}"/>
            </c:ext>
          </c:extLst>
        </c:ser>
        <c:dLbls>
          <c:dLblPos val="outEnd"/>
          <c:showLegendKey val="0"/>
          <c:showVal val="1"/>
          <c:showCatName val="0"/>
          <c:showSerName val="0"/>
          <c:showPercent val="0"/>
          <c:showBubbleSize val="0"/>
        </c:dLbls>
        <c:gapWidth val="219"/>
        <c:overlap val="-27"/>
        <c:axId val="600192704"/>
        <c:axId val="603236816"/>
      </c:barChart>
      <c:catAx>
        <c:axId val="6001927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crossAx val="603236816"/>
        <c:crosses val="autoZero"/>
        <c:auto val="1"/>
        <c:lblAlgn val="ctr"/>
        <c:lblOffset val="100"/>
        <c:noMultiLvlLbl val="0"/>
      </c:catAx>
      <c:valAx>
        <c:axId val="603236816"/>
        <c:scaling>
          <c:orientation val="minMax"/>
        </c:scaling>
        <c:delete val="1"/>
        <c:axPos val="l"/>
        <c:numFmt formatCode="&quot;$&quot;#,##0" sourceLinked="1"/>
        <c:majorTickMark val="none"/>
        <c:minorTickMark val="none"/>
        <c:tickLblPos val="nextTo"/>
        <c:crossAx val="600192704"/>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[Row data.xlsx]Pivot Table!PivotTable6</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latin typeface="Times New Roman" panose="02020603050405020304" pitchFamily="18" charset="0"/>
                <a:cs typeface="Times New Roman" panose="02020603050405020304" pitchFamily="18" charset="0"/>
              </a:rPr>
              <a:t>Total sales By Category</a:t>
            </a:r>
          </a:p>
        </c:rich>
      </c:tx>
      <c:overlay val="0"/>
      <c:spPr>
        <a:solidFill>
          <a:schemeClr val="accent6">
            <a:lumMod val="40000"/>
            <a:lumOff val="60000"/>
          </a:schemeClr>
        </a:soli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pivotFmt>
      <c:pivotFmt>
        <c:idx val="6"/>
        <c:spPr>
          <a:solidFill>
            <a:schemeClr val="accent1"/>
          </a:solidFill>
          <a:ln>
            <a:noFill/>
          </a:ln>
          <a:effectLst/>
        </c:spPr>
      </c:pivotFmt>
      <c:pivotFmt>
        <c:idx val="7"/>
        <c:spPr>
          <a:solidFill>
            <a:schemeClr val="accent1"/>
          </a:solidFill>
          <a:ln>
            <a:noFill/>
          </a:ln>
          <a:effectLst/>
        </c:spPr>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pivotFmt>
      <c:pivotFmt>
        <c:idx val="10"/>
        <c:spPr>
          <a:solidFill>
            <a:schemeClr val="accent1"/>
          </a:solidFill>
          <a:ln>
            <a:noFill/>
          </a:ln>
          <a:effectLst/>
        </c:spPr>
      </c:pivotFmt>
      <c:pivotFmt>
        <c:idx val="11"/>
        <c:spPr>
          <a:solidFill>
            <a:schemeClr val="accent1"/>
          </a:solidFill>
          <a:ln>
            <a:noFill/>
          </a:ln>
          <a:effectLst/>
        </c:spPr>
      </c:pivotFmt>
    </c:pivotFmts>
    <c:plotArea>
      <c:layout>
        <c:manualLayout>
          <c:layoutTarget val="inner"/>
          <c:xMode val="edge"/>
          <c:yMode val="edge"/>
          <c:x val="0.12519203849518812"/>
          <c:y val="0.23087744240303296"/>
          <c:w val="0.7189975940507437"/>
          <c:h val="0.53811424613589964"/>
        </c:manualLayout>
      </c:layout>
      <c:barChart>
        <c:barDir val="col"/>
        <c:grouping val="clustered"/>
        <c:varyColors val="1"/>
        <c:ser>
          <c:idx val="0"/>
          <c:order val="0"/>
          <c:tx>
            <c:strRef>
              <c:f>'Pivot Table'!$X$3</c:f>
              <c:strCache>
                <c:ptCount val="1"/>
                <c:pt idx="0">
                  <c:v>Total</c:v>
                </c:pt>
              </c:strCache>
            </c:strRef>
          </c:tx>
          <c:invertIfNegative val="0"/>
          <c:dPt>
            <c:idx val="0"/>
            <c:invertIfNegative val="0"/>
            <c:bubble3D val="0"/>
            <c:spPr>
              <a:solidFill>
                <a:schemeClr val="accent1"/>
              </a:solidFill>
              <a:ln>
                <a:noFill/>
              </a:ln>
              <a:effectLst/>
            </c:spPr>
            <c:extLst>
              <c:ext xmlns:c16="http://schemas.microsoft.com/office/drawing/2014/chart" uri="{C3380CC4-5D6E-409C-BE32-E72D297353CC}">
                <c16:uniqueId val="{00000001-93F0-4F89-B654-054862E5429C}"/>
              </c:ext>
            </c:extLst>
          </c:dPt>
          <c:dPt>
            <c:idx val="1"/>
            <c:invertIfNegative val="0"/>
            <c:bubble3D val="0"/>
            <c:spPr>
              <a:solidFill>
                <a:schemeClr val="accent2"/>
              </a:solidFill>
              <a:ln>
                <a:noFill/>
              </a:ln>
              <a:effectLst/>
            </c:spPr>
            <c:extLst>
              <c:ext xmlns:c16="http://schemas.microsoft.com/office/drawing/2014/chart" uri="{C3380CC4-5D6E-409C-BE32-E72D297353CC}">
                <c16:uniqueId val="{00000003-93F0-4F89-B654-054862E5429C}"/>
              </c:ext>
            </c:extLst>
          </c:dPt>
          <c:dPt>
            <c:idx val="2"/>
            <c:invertIfNegative val="0"/>
            <c:bubble3D val="0"/>
            <c:spPr>
              <a:solidFill>
                <a:schemeClr val="accent3"/>
              </a:solidFill>
              <a:ln>
                <a:noFill/>
              </a:ln>
              <a:effectLst/>
            </c:spPr>
            <c:extLst>
              <c:ext xmlns:c16="http://schemas.microsoft.com/office/drawing/2014/chart" uri="{C3380CC4-5D6E-409C-BE32-E72D297353CC}">
                <c16:uniqueId val="{00000005-93F0-4F89-B654-054862E5429C}"/>
              </c:ext>
            </c:extLst>
          </c:dPt>
          <c:dLbls>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Table'!$W$4:$W$7</c:f>
              <c:strCache>
                <c:ptCount val="3"/>
                <c:pt idx="0">
                  <c:v>Accessories</c:v>
                </c:pt>
                <c:pt idx="1">
                  <c:v>Electronics</c:v>
                </c:pt>
                <c:pt idx="2">
                  <c:v>Office</c:v>
                </c:pt>
              </c:strCache>
            </c:strRef>
          </c:cat>
          <c:val>
            <c:numRef>
              <c:f>'Pivot Table'!$X$4:$X$7</c:f>
              <c:numCache>
                <c:formatCode>"$"#,##0</c:formatCode>
                <c:ptCount val="3"/>
                <c:pt idx="0">
                  <c:v>14260</c:v>
                </c:pt>
                <c:pt idx="1">
                  <c:v>256050</c:v>
                </c:pt>
                <c:pt idx="2">
                  <c:v>24360</c:v>
                </c:pt>
              </c:numCache>
            </c:numRef>
          </c:val>
          <c:extLst>
            <c:ext xmlns:c16="http://schemas.microsoft.com/office/drawing/2014/chart" uri="{C3380CC4-5D6E-409C-BE32-E72D297353CC}">
              <c16:uniqueId val="{00000006-93F0-4F89-B654-054862E5429C}"/>
            </c:ext>
          </c:extLst>
        </c:ser>
        <c:dLbls>
          <c:dLblPos val="outEnd"/>
          <c:showLegendKey val="0"/>
          <c:showVal val="1"/>
          <c:showCatName val="0"/>
          <c:showSerName val="0"/>
          <c:showPercent val="0"/>
          <c:showBubbleSize val="0"/>
        </c:dLbls>
        <c:gapWidth val="219"/>
        <c:overlap val="-27"/>
        <c:axId val="40803183"/>
        <c:axId val="36398447"/>
      </c:barChart>
      <c:catAx>
        <c:axId val="408031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1" i="0" u="none" strike="noStrike" kern="1200" baseline="0">
                <a:solidFill>
                  <a:schemeClr val="tx1">
                    <a:lumMod val="65000"/>
                    <a:lumOff val="35000"/>
                  </a:schemeClr>
                </a:solidFill>
                <a:latin typeface="+mn-lt"/>
                <a:ea typeface="+mn-ea"/>
                <a:cs typeface="+mn-cs"/>
              </a:defRPr>
            </a:pPr>
            <a:endParaRPr lang="en-US"/>
          </a:p>
        </c:txPr>
        <c:crossAx val="36398447"/>
        <c:crosses val="autoZero"/>
        <c:auto val="1"/>
        <c:lblAlgn val="ctr"/>
        <c:lblOffset val="100"/>
        <c:noMultiLvlLbl val="0"/>
      </c:catAx>
      <c:valAx>
        <c:axId val="36398447"/>
        <c:scaling>
          <c:orientation val="minMax"/>
        </c:scaling>
        <c:delete val="1"/>
        <c:axPos val="l"/>
        <c:numFmt formatCode="&quot;$&quot;#,##0" sourceLinked="1"/>
        <c:majorTickMark val="none"/>
        <c:minorTickMark val="none"/>
        <c:tickLblPos val="nextTo"/>
        <c:crossAx val="4080318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[Row data.xlsx]Pivot Table!PivotTable3</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latin typeface="Times New Roman" panose="02020603050405020304" pitchFamily="18" charset="0"/>
                <a:cs typeface="Times New Roman" panose="02020603050405020304" pitchFamily="18" charset="0"/>
              </a:rPr>
              <a:t>Total</a:t>
            </a:r>
            <a:r>
              <a:rPr lang="en-US" b="1" baseline="0">
                <a:latin typeface="Times New Roman" panose="02020603050405020304" pitchFamily="18" charset="0"/>
                <a:cs typeface="Times New Roman" panose="02020603050405020304" pitchFamily="18" charset="0"/>
              </a:rPr>
              <a:t> Sales By city</a:t>
            </a:r>
            <a:endParaRPr lang="en-US" b="1">
              <a:latin typeface="Times New Roman" panose="02020603050405020304" pitchFamily="18" charset="0"/>
              <a:cs typeface="Times New Roman" panose="02020603050405020304" pitchFamily="18" charset="0"/>
            </a:endParaRPr>
          </a:p>
        </c:rich>
      </c:tx>
      <c:overlay val="0"/>
      <c:spPr>
        <a:solidFill>
          <a:schemeClr val="accent6">
            <a:lumMod val="40000"/>
            <a:lumOff val="60000"/>
          </a:schemeClr>
        </a:soli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dLbl>
          <c:idx val="0"/>
          <c:layout>
            <c:manualLayout>
              <c:x val="-4.7244365772107944E-2"/>
              <c:y val="-6.3560358403475431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dLbl>
          <c:idx val="0"/>
          <c:layout>
            <c:manualLayout>
              <c:x val="5.5786282528637411E-2"/>
              <c:y val="-8.5126690198207983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dLbl>
          <c:idx val="0"/>
          <c:layout>
            <c:manualLayout>
              <c:x val="5.4956696304435133E-3"/>
              <c:y val="1.3833070866141732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Lst>
        </c:dLbl>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dLbl>
          <c:idx val="0"/>
          <c:layout>
            <c:manualLayout>
              <c:x val="5.5786282528637411E-2"/>
              <c:y val="-8.5126690198207983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Lst>
        </c:dLbl>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dLbl>
          <c:idx val="0"/>
          <c:layout>
            <c:manualLayout>
              <c:x val="-4.7244365772107944E-2"/>
              <c:y val="-6.3560358403475431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Lst>
        </c:dLbl>
      </c:pivotFmt>
      <c:pivotFmt>
        <c:idx val="19"/>
        <c:spPr>
          <a:solidFill>
            <a:schemeClr val="accent1"/>
          </a:solidFill>
          <a:ln w="19050">
            <a:solidFill>
              <a:schemeClr val="lt1"/>
            </a:solidFill>
          </a:ln>
          <a:effectLst/>
        </c:spPr>
        <c:dLbl>
          <c:idx val="0"/>
          <c:layout>
            <c:manualLayout>
              <c:x val="5.4956696304435133E-3"/>
              <c:y val="1.3833070866141732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Lst>
        </c:dLbl>
      </c:pivotFmt>
      <c:pivotFmt>
        <c:idx val="2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Lst>
        </c:dLbl>
      </c:pivotFmt>
      <c:pivotFmt>
        <c:idx val="21"/>
        <c:spPr>
          <a:solidFill>
            <a:schemeClr val="accent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6">
                      <a:lumMod val="75000"/>
                    </a:schemeClr>
                  </a:solidFill>
                  <a:latin typeface="+mn-lt"/>
                  <a:ea typeface="+mn-ea"/>
                  <a:cs typeface="+mn-cs"/>
                </a:defRPr>
              </a:pPr>
              <a:endParaRPr lang="en-US"/>
            </a:p>
          </c:txPr>
        </c:dLbl>
      </c:pivotFmt>
      <c:pivotFmt>
        <c:idx val="22"/>
        <c:spPr>
          <a:solidFill>
            <a:schemeClr val="accent1"/>
          </a:solidFill>
          <a:ln w="19050">
            <a:solidFill>
              <a:schemeClr val="lt1"/>
            </a:solidFill>
          </a:ln>
          <a:effectLst/>
        </c:spPr>
        <c:dLbl>
          <c:idx val="0"/>
          <c:layout>
            <c:manualLayout>
              <c:x val="-0.14139473142871767"/>
              <c:y val="-6.6342691470372781E-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5"/>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Lst>
        </c:dLbl>
      </c:pivotFmt>
      <c:pivotFmt>
        <c:idx val="23"/>
        <c:spPr>
          <a:solidFill>
            <a:schemeClr val="accent1"/>
          </a:solidFill>
          <a:ln w="19050">
            <a:solidFill>
              <a:schemeClr val="lt1"/>
            </a:solidFill>
          </a:ln>
          <a:effectLst/>
        </c:spPr>
        <c:dLbl>
          <c:idx val="0"/>
          <c:layout>
            <c:manualLayout>
              <c:x val="-4.0046929149255006E-2"/>
              <c:y val="-2.3681794016722248E-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2">
                      <a:lumMod val="50000"/>
                      <a:lumOff val="50000"/>
                    </a:schemeClr>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Lst>
        </c:dLbl>
      </c:pivotFmt>
      <c:pivotFmt>
        <c:idx val="24"/>
        <c:spPr>
          <a:solidFill>
            <a:schemeClr val="accent1"/>
          </a:solidFill>
          <a:ln w="19050">
            <a:solidFill>
              <a:schemeClr val="lt1"/>
            </a:solidFill>
          </a:ln>
          <a:effectLst/>
        </c:spPr>
        <c:dLbl>
          <c:idx val="0"/>
          <c:layout>
            <c:manualLayout>
              <c:x val="0.4575510031335312"/>
              <c:y val="-6.7860476709463324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Lst>
        </c:dLbl>
      </c:pivotFmt>
      <c:pivotFmt>
        <c:idx val="25"/>
        <c:spPr>
          <a:solidFill>
            <a:schemeClr val="accent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dLbl>
      </c:pivotFmt>
      <c:pivotFmt>
        <c:idx val="26"/>
        <c:spPr>
          <a:solidFill>
            <a:schemeClr val="accent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2"/>
                  </a:solidFill>
                  <a:latin typeface="+mn-lt"/>
                  <a:ea typeface="+mn-ea"/>
                  <a:cs typeface="+mn-cs"/>
                </a:defRPr>
              </a:pPr>
              <a:endParaRPr lang="en-US"/>
            </a:p>
          </c:txPr>
        </c:dLbl>
      </c:pivotFmt>
      <c:pivotFmt>
        <c:idx val="27"/>
        <c:spPr>
          <a:solidFill>
            <a:schemeClr val="accent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6"/>
                  </a:solidFill>
                  <a:latin typeface="+mn-lt"/>
                  <a:ea typeface="+mn-ea"/>
                  <a:cs typeface="+mn-cs"/>
                </a:defRPr>
              </a:pPr>
              <a:endParaRPr lang="en-US"/>
            </a:p>
          </c:txPr>
        </c:dLbl>
      </c:pivotFmt>
      <c:pivotFmt>
        <c:idx val="28"/>
        <c:spPr>
          <a:solidFill>
            <a:schemeClr val="accent1"/>
          </a:solidFill>
          <a:ln w="19050">
            <a:solidFill>
              <a:schemeClr val="lt1"/>
            </a:solidFill>
          </a:ln>
          <a:effectLst/>
        </c:spPr>
        <c:dLbl>
          <c:idx val="0"/>
          <c:layout>
            <c:manualLayout>
              <c:x val="4.0255590635036295E-2"/>
              <c:y val="-6.3560175704684127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2"/>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Lst>
        </c:dLbl>
      </c:pivotFmt>
      <c:pivotFmt>
        <c:idx val="29"/>
        <c:spPr>
          <a:solidFill>
            <a:schemeClr val="accent1"/>
          </a:solidFill>
          <a:ln w="19050">
            <a:solidFill>
              <a:schemeClr val="lt1"/>
            </a:solidFill>
          </a:ln>
          <a:effectLst/>
        </c:spPr>
        <c:dLbl>
          <c:idx val="0"/>
          <c:layout>
            <c:manualLayout>
              <c:x val="5.4956696304435133E-3"/>
              <c:y val="1.3833070866141732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'Pivot Table'!$E$18</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0335-4140-B237-8FDBE383417F}"/>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0335-4140-B237-8FDBE383417F}"/>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0335-4140-B237-8FDBE383417F}"/>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0335-4140-B237-8FDBE383417F}"/>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0335-4140-B237-8FDBE383417F}"/>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0335-4140-B237-8FDBE383417F}"/>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0335-4140-B237-8FDBE383417F}"/>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0335-4140-B237-8FDBE383417F}"/>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11-0335-4140-B237-8FDBE383417F}"/>
              </c:ext>
            </c:extLst>
          </c:dPt>
          <c:dLbls>
            <c:dLbl>
              <c:idx val="0"/>
              <c:layout>
                <c:manualLayout>
                  <c:x val="5.4956696304435133E-3"/>
                  <c:y val="1.3833070866141732E-2"/>
                </c:manualLayout>
              </c:layout>
              <c:dLblPos val="bestFi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1-0335-4140-B237-8FDBE383417F}"/>
                </c:ext>
              </c:extLst>
            </c:dLbl>
            <c:dLbl>
              <c:idx val="1"/>
              <c:layout>
                <c:manualLayout>
                  <c:x val="4.0255590635036295E-2"/>
                  <c:y val="-6.3560175704684127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2"/>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3-0335-4140-B237-8FDBE383417F}"/>
                </c:ext>
              </c:extLst>
            </c:dLbl>
            <c:dLbl>
              <c:idx val="3"/>
              <c:layout>
                <c:manualLayout>
                  <c:x val="-4.0046929149255006E-2"/>
                  <c:y val="-2.3681794016722248E-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2">
                          <a:lumMod val="50000"/>
                          <a:lumOff val="50000"/>
                        </a:schemeClr>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7-0335-4140-B237-8FDBE383417F}"/>
                </c:ext>
              </c:extLst>
            </c:dLbl>
            <c:dLbl>
              <c:idx val="4"/>
              <c:layout>
                <c:manualLayout>
                  <c:x val="-0.14139473142871767"/>
                  <c:y val="-6.6342691470372781E-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5"/>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9-0335-4140-B237-8FDBE383417F}"/>
                </c:ext>
              </c:extLst>
            </c:dLbl>
            <c:dLbl>
              <c:idx val="8"/>
              <c:layout>
                <c:manualLayout>
                  <c:x val="0.4575510031335312"/>
                  <c:y val="-6.7860476709463324E-2"/>
                </c:manualLayout>
              </c:layout>
              <c:dLblPos val="bestFi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11-0335-4140-B237-8FDBE383417F}"/>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bestFit"/>
            <c:showLegendKey val="0"/>
            <c:showVal val="1"/>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Table'!$D$19:$D$28</c:f>
              <c:strCache>
                <c:ptCount val="9"/>
                <c:pt idx="0">
                  <c:v>Nairobi</c:v>
                </c:pt>
                <c:pt idx="1">
                  <c:v>Mogadishu</c:v>
                </c:pt>
                <c:pt idx="2">
                  <c:v>Addis Ababa</c:v>
                </c:pt>
                <c:pt idx="3">
                  <c:v>Djibouti City</c:v>
                </c:pt>
                <c:pt idx="4">
                  <c:v>Baidoa</c:v>
                </c:pt>
                <c:pt idx="5">
                  <c:v>Kismayo</c:v>
                </c:pt>
                <c:pt idx="6">
                  <c:v>Garowe</c:v>
                </c:pt>
                <c:pt idx="7">
                  <c:v>Hargeisa</c:v>
                </c:pt>
                <c:pt idx="8">
                  <c:v>Galkayo</c:v>
                </c:pt>
              </c:strCache>
            </c:strRef>
          </c:cat>
          <c:val>
            <c:numRef>
              <c:f>'Pivot Table'!$E$19:$E$28</c:f>
              <c:numCache>
                <c:formatCode>"$"#,##0</c:formatCode>
                <c:ptCount val="9"/>
                <c:pt idx="0">
                  <c:v>54825</c:v>
                </c:pt>
                <c:pt idx="1">
                  <c:v>49835</c:v>
                </c:pt>
                <c:pt idx="2">
                  <c:v>39275</c:v>
                </c:pt>
                <c:pt idx="3">
                  <c:v>38925</c:v>
                </c:pt>
                <c:pt idx="4">
                  <c:v>32150</c:v>
                </c:pt>
                <c:pt idx="5">
                  <c:v>24565</c:v>
                </c:pt>
                <c:pt idx="6">
                  <c:v>21735</c:v>
                </c:pt>
                <c:pt idx="7">
                  <c:v>20990</c:v>
                </c:pt>
                <c:pt idx="8">
                  <c:v>12370</c:v>
                </c:pt>
              </c:numCache>
            </c:numRef>
          </c:val>
          <c:extLst>
            <c:ext xmlns:c16="http://schemas.microsoft.com/office/drawing/2014/chart" uri="{C3380CC4-5D6E-409C-BE32-E72D297353CC}">
              <c16:uniqueId val="{00000012-0335-4140-B237-8FDBE383417F}"/>
            </c:ext>
          </c:extLst>
        </c:ser>
        <c:dLbls>
          <c:showLegendKey val="0"/>
          <c:showVal val="0"/>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[Row data.xlsx]Pivot Table!PivotTable5</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latin typeface="Times New Roman" panose="02020603050405020304" pitchFamily="18" charset="0"/>
                <a:cs typeface="Times New Roman" panose="02020603050405020304" pitchFamily="18" charset="0"/>
              </a:rPr>
              <a:t>Total Sales By Country</a:t>
            </a:r>
          </a:p>
        </c:rich>
      </c:tx>
      <c:layout>
        <c:manualLayout>
          <c:xMode val="edge"/>
          <c:yMode val="edge"/>
          <c:x val="0.28161459370557534"/>
          <c:y val="5.0461881919932422E-2"/>
        </c:manualLayout>
      </c:layout>
      <c:overlay val="0"/>
      <c:spPr>
        <a:solidFill>
          <a:schemeClr val="accent6">
            <a:lumMod val="20000"/>
            <a:lumOff val="80000"/>
          </a:schemeClr>
        </a:soli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pivotFmt>
      <c:pivotFmt>
        <c:idx val="7"/>
        <c:spPr>
          <a:solidFill>
            <a:schemeClr val="accent1"/>
          </a:solidFill>
          <a:ln>
            <a:noFill/>
          </a:ln>
          <a:effectLst/>
        </c:spPr>
      </c:pivotFmt>
      <c:pivotFmt>
        <c:idx val="8"/>
        <c:spPr>
          <a:solidFill>
            <a:schemeClr val="accent1"/>
          </a:solidFill>
          <a:ln>
            <a:noFill/>
          </a:ln>
          <a:effectLst/>
        </c:spPr>
      </c:pivotFmt>
      <c:pivotFmt>
        <c:idx val="9"/>
        <c:spPr>
          <a:solidFill>
            <a:schemeClr val="accent1"/>
          </a:solidFill>
          <a:ln>
            <a:noFill/>
          </a:ln>
          <a:effectLst/>
        </c:spPr>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pivotFmt>
      <c:pivotFmt>
        <c:idx val="12"/>
        <c:spPr>
          <a:solidFill>
            <a:schemeClr val="accent1"/>
          </a:solidFill>
          <a:ln>
            <a:noFill/>
          </a:ln>
          <a:effectLst/>
        </c:spPr>
      </c:pivotFmt>
      <c:pivotFmt>
        <c:idx val="13"/>
        <c:spPr>
          <a:solidFill>
            <a:schemeClr val="accent1"/>
          </a:solidFill>
          <a:ln>
            <a:noFill/>
          </a:ln>
          <a:effectLst/>
        </c:spPr>
      </c:pivotFmt>
      <c:pivotFmt>
        <c:idx val="14"/>
        <c:spPr>
          <a:solidFill>
            <a:schemeClr val="accent1"/>
          </a:solidFill>
          <a:ln>
            <a:noFill/>
          </a:ln>
          <a:effectLst/>
        </c:spPr>
      </c:pivotFmt>
    </c:pivotFmts>
    <c:plotArea>
      <c:layout/>
      <c:barChart>
        <c:barDir val="col"/>
        <c:grouping val="clustered"/>
        <c:varyColors val="1"/>
        <c:ser>
          <c:idx val="0"/>
          <c:order val="0"/>
          <c:tx>
            <c:strRef>
              <c:f>'Pivot Table'!$E$3</c:f>
              <c:strCache>
                <c:ptCount val="1"/>
                <c:pt idx="0">
                  <c:v>Total</c:v>
                </c:pt>
              </c:strCache>
            </c:strRef>
          </c:tx>
          <c:invertIfNegative val="0"/>
          <c:dPt>
            <c:idx val="0"/>
            <c:invertIfNegative val="0"/>
            <c:bubble3D val="0"/>
            <c:spPr>
              <a:solidFill>
                <a:schemeClr val="accent1"/>
              </a:solidFill>
              <a:ln>
                <a:noFill/>
              </a:ln>
              <a:effectLst/>
            </c:spPr>
            <c:extLst>
              <c:ext xmlns:c16="http://schemas.microsoft.com/office/drawing/2014/chart" uri="{C3380CC4-5D6E-409C-BE32-E72D297353CC}">
                <c16:uniqueId val="{00000001-B947-4990-830A-B6F66016A3DB}"/>
              </c:ext>
            </c:extLst>
          </c:dPt>
          <c:dPt>
            <c:idx val="1"/>
            <c:invertIfNegative val="0"/>
            <c:bubble3D val="0"/>
            <c:spPr>
              <a:solidFill>
                <a:schemeClr val="accent2"/>
              </a:solidFill>
              <a:ln>
                <a:noFill/>
              </a:ln>
              <a:effectLst/>
            </c:spPr>
            <c:extLst>
              <c:ext xmlns:c16="http://schemas.microsoft.com/office/drawing/2014/chart" uri="{C3380CC4-5D6E-409C-BE32-E72D297353CC}">
                <c16:uniqueId val="{00000003-B947-4990-830A-B6F66016A3DB}"/>
              </c:ext>
            </c:extLst>
          </c:dPt>
          <c:dPt>
            <c:idx val="2"/>
            <c:invertIfNegative val="0"/>
            <c:bubble3D val="0"/>
            <c:spPr>
              <a:solidFill>
                <a:schemeClr val="accent3"/>
              </a:solidFill>
              <a:ln>
                <a:noFill/>
              </a:ln>
              <a:effectLst/>
            </c:spPr>
            <c:extLst>
              <c:ext xmlns:c16="http://schemas.microsoft.com/office/drawing/2014/chart" uri="{C3380CC4-5D6E-409C-BE32-E72D297353CC}">
                <c16:uniqueId val="{00000005-B947-4990-830A-B6F66016A3DB}"/>
              </c:ext>
            </c:extLst>
          </c:dPt>
          <c:dPt>
            <c:idx val="3"/>
            <c:invertIfNegative val="0"/>
            <c:bubble3D val="0"/>
            <c:spPr>
              <a:solidFill>
                <a:schemeClr val="accent4"/>
              </a:solidFill>
              <a:ln>
                <a:noFill/>
              </a:ln>
              <a:effectLst/>
            </c:spPr>
            <c:extLst>
              <c:ext xmlns:c16="http://schemas.microsoft.com/office/drawing/2014/chart" uri="{C3380CC4-5D6E-409C-BE32-E72D297353CC}">
                <c16:uniqueId val="{00000007-B947-4990-830A-B6F66016A3DB}"/>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Table'!$D$4:$D$8</c:f>
              <c:strCache>
                <c:ptCount val="4"/>
                <c:pt idx="0">
                  <c:v>Somalia</c:v>
                </c:pt>
                <c:pt idx="1">
                  <c:v>Kenya</c:v>
                </c:pt>
                <c:pt idx="2">
                  <c:v>Ethiopia</c:v>
                </c:pt>
                <c:pt idx="3">
                  <c:v>Djibouti</c:v>
                </c:pt>
              </c:strCache>
            </c:strRef>
          </c:cat>
          <c:val>
            <c:numRef>
              <c:f>'Pivot Table'!$E$4:$E$8</c:f>
              <c:numCache>
                <c:formatCode>"$"#,##0</c:formatCode>
                <c:ptCount val="4"/>
                <c:pt idx="0">
                  <c:v>161645</c:v>
                </c:pt>
                <c:pt idx="1">
                  <c:v>54825</c:v>
                </c:pt>
                <c:pt idx="2">
                  <c:v>39275</c:v>
                </c:pt>
                <c:pt idx="3">
                  <c:v>38925</c:v>
                </c:pt>
              </c:numCache>
            </c:numRef>
          </c:val>
          <c:extLst>
            <c:ext xmlns:c16="http://schemas.microsoft.com/office/drawing/2014/chart" uri="{C3380CC4-5D6E-409C-BE32-E72D297353CC}">
              <c16:uniqueId val="{00000008-B947-4990-830A-B6F66016A3DB}"/>
            </c:ext>
          </c:extLst>
        </c:ser>
        <c:dLbls>
          <c:dLblPos val="outEnd"/>
          <c:showLegendKey val="0"/>
          <c:showVal val="1"/>
          <c:showCatName val="0"/>
          <c:showSerName val="0"/>
          <c:showPercent val="0"/>
          <c:showBubbleSize val="0"/>
        </c:dLbls>
        <c:gapWidth val="219"/>
        <c:overlap val="-27"/>
        <c:axId val="600194096"/>
        <c:axId val="603291056"/>
      </c:barChart>
      <c:catAx>
        <c:axId val="6001940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1" i="0" u="none" strike="noStrike" kern="1200" baseline="0">
                <a:solidFill>
                  <a:schemeClr val="tx1">
                    <a:lumMod val="65000"/>
                    <a:lumOff val="35000"/>
                  </a:schemeClr>
                </a:solidFill>
                <a:latin typeface="+mn-lt"/>
                <a:ea typeface="+mn-ea"/>
                <a:cs typeface="+mn-cs"/>
              </a:defRPr>
            </a:pPr>
            <a:endParaRPr lang="en-US"/>
          </a:p>
        </c:txPr>
        <c:crossAx val="603291056"/>
        <c:crosses val="autoZero"/>
        <c:auto val="1"/>
        <c:lblAlgn val="ctr"/>
        <c:lblOffset val="100"/>
        <c:noMultiLvlLbl val="0"/>
      </c:catAx>
      <c:valAx>
        <c:axId val="603291056"/>
        <c:scaling>
          <c:orientation val="minMax"/>
        </c:scaling>
        <c:delete val="1"/>
        <c:axPos val="l"/>
        <c:numFmt formatCode="&quot;$&quot;#,##0" sourceLinked="1"/>
        <c:majorTickMark val="none"/>
        <c:minorTickMark val="none"/>
        <c:tickLblPos val="nextTo"/>
        <c:crossAx val="6001940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[Row data.xlsx]Pivot Table!PivotTable4</c:name>
    <c:fmtId val="12"/>
  </c:pivotSource>
  <c:chart>
    <c:title>
      <c:tx>
        <c:rich>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r>
              <a:rPr lang="en-US" sz="1600" b="1" i="0" u="none" strike="noStrike" cap="all" normalizeH="0" baseline="0"/>
              <a:t>Salesperson Performance</a:t>
            </a:r>
            <a:endParaRPr lang="en-US"/>
          </a:p>
        </c:rich>
      </c:tx>
      <c:overlay val="0"/>
      <c:spPr>
        <a:solidFill>
          <a:schemeClr val="accent6">
            <a:lumMod val="20000"/>
            <a:lumOff val="80000"/>
          </a:schemeClr>
        </a:solid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accent1"/>
          </a:solidFill>
          <a:ln>
            <a:noFill/>
          </a:ln>
          <a:effectLst/>
        </c:spPr>
      </c:pivotFmt>
      <c:pivotFmt>
        <c:idx val="6"/>
        <c:spPr>
          <a:solidFill>
            <a:schemeClr val="accent1"/>
          </a:solidFill>
          <a:ln>
            <a:noFill/>
          </a:ln>
          <a:effectLst/>
        </c:spPr>
      </c:pivotFmt>
      <c:pivotFmt>
        <c:idx val="7"/>
        <c:spPr>
          <a:solidFill>
            <a:schemeClr val="accent1"/>
          </a:solidFill>
          <a:ln>
            <a:noFill/>
          </a:ln>
          <a:effectLst/>
        </c:spPr>
      </c:pivotFmt>
      <c:pivotFmt>
        <c:idx val="8"/>
        <c:spPr>
          <a:solidFill>
            <a:schemeClr val="accent1"/>
          </a:solidFill>
          <a:ln>
            <a:noFill/>
          </a:ln>
          <a:effectLst/>
        </c:spPr>
      </c:pivotFmt>
      <c:pivotFmt>
        <c:idx val="9"/>
        <c:spPr>
          <a:solidFill>
            <a:schemeClr val="accent1"/>
          </a:solidFill>
          <a:ln>
            <a:noFill/>
          </a:ln>
          <a:effectLst/>
        </c:spPr>
      </c:pivotFmt>
      <c:pivotFmt>
        <c:idx val="10"/>
        <c:spPr>
          <a:solidFill>
            <a:schemeClr val="accent1"/>
          </a:solidFill>
          <a:ln>
            <a:noFill/>
          </a:ln>
          <a:effectLst/>
        </c:spPr>
      </c:pivotFmt>
      <c:pivotFmt>
        <c:idx val="11"/>
        <c:spPr>
          <a:solidFill>
            <a:schemeClr val="accent1"/>
          </a:solidFill>
          <a:ln>
            <a:noFill/>
          </a:ln>
          <a:effectLst/>
        </c:spPr>
      </c:pivotFmt>
      <c:pivotFmt>
        <c:idx val="12"/>
        <c:spPr>
          <a:solidFill>
            <a:schemeClr val="accent1"/>
          </a:solidFill>
          <a:ln>
            <a:noFill/>
          </a:ln>
          <a:effectLst/>
        </c:spPr>
      </c:pivotFmt>
      <c:pivotFmt>
        <c:idx val="13"/>
        <c:spPr>
          <a:solidFill>
            <a:schemeClr val="accent1"/>
          </a:solidFill>
          <a:ln>
            <a:noFill/>
          </a:ln>
          <a:effectLst/>
        </c:spPr>
      </c:pivotFmt>
      <c:pivotFmt>
        <c:idx val="14"/>
        <c:spPr>
          <a:solidFill>
            <a:schemeClr val="accent1"/>
          </a:solidFill>
          <a:ln>
            <a:noFill/>
          </a:ln>
          <a:effectLst/>
        </c:spPr>
      </c:pivotFmt>
      <c:pivotFmt>
        <c:idx val="15"/>
        <c:spPr>
          <a:solidFill>
            <a:schemeClr val="accent1"/>
          </a:solidFill>
          <a:ln>
            <a:noFill/>
          </a:ln>
          <a:effectLst/>
        </c:spPr>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pivotFmt>
      <c:pivotFmt>
        <c:idx val="18"/>
        <c:spPr>
          <a:solidFill>
            <a:schemeClr val="accent1"/>
          </a:solidFill>
          <a:ln>
            <a:noFill/>
          </a:ln>
          <a:effectLst/>
        </c:spPr>
      </c:pivotFmt>
      <c:pivotFmt>
        <c:idx val="19"/>
        <c:spPr>
          <a:solidFill>
            <a:schemeClr val="accent1"/>
          </a:solidFill>
          <a:ln>
            <a:noFill/>
          </a:ln>
          <a:effectLst/>
        </c:spPr>
      </c:pivotFmt>
      <c:pivotFmt>
        <c:idx val="20"/>
        <c:spPr>
          <a:solidFill>
            <a:schemeClr val="accent1"/>
          </a:solidFill>
          <a:ln>
            <a:noFill/>
          </a:ln>
          <a:effectLst/>
        </c:spPr>
      </c:pivotFmt>
      <c:pivotFmt>
        <c:idx val="21"/>
        <c:spPr>
          <a:solidFill>
            <a:schemeClr val="accent1"/>
          </a:solidFill>
          <a:ln>
            <a:noFill/>
          </a:ln>
          <a:effectLst/>
        </c:spPr>
      </c:pivotFmt>
      <c:pivotFmt>
        <c:idx val="22"/>
        <c:spPr>
          <a:solidFill>
            <a:schemeClr val="accent1"/>
          </a:solidFill>
          <a:ln>
            <a:noFill/>
          </a:ln>
          <a:effectLst/>
        </c:spPr>
      </c:pivotFmt>
      <c:pivotFmt>
        <c:idx val="23"/>
        <c:spPr>
          <a:solidFill>
            <a:schemeClr val="accent1"/>
          </a:solidFill>
          <a:ln>
            <a:noFill/>
          </a:ln>
          <a:effectLst/>
        </c:spPr>
      </c:pivotFmt>
      <c:pivotFmt>
        <c:idx val="24"/>
        <c:spPr>
          <a:solidFill>
            <a:schemeClr val="accent1"/>
          </a:solidFill>
          <a:ln>
            <a:noFill/>
          </a:ln>
          <a:effectLst/>
        </c:spPr>
      </c:pivotFmt>
      <c:pivotFmt>
        <c:idx val="25"/>
        <c:spPr>
          <a:solidFill>
            <a:schemeClr val="accent1"/>
          </a:solidFill>
          <a:ln>
            <a:noFill/>
          </a:ln>
          <a:effectLst/>
        </c:spPr>
      </c:pivotFmt>
      <c:pivotFmt>
        <c:idx val="26"/>
        <c:spPr>
          <a:solidFill>
            <a:schemeClr val="accent1"/>
          </a:solidFill>
          <a:ln>
            <a:noFill/>
          </a:ln>
          <a:effectLst/>
        </c:spPr>
      </c:pivotFmt>
      <c:pivotFmt>
        <c:idx val="27"/>
        <c:spPr>
          <a:solidFill>
            <a:schemeClr val="accent1"/>
          </a:solidFill>
          <a:ln>
            <a:noFill/>
          </a:ln>
          <a:effectLst/>
        </c:spPr>
      </c:pivotFmt>
      <c:pivotFmt>
        <c:idx val="28"/>
        <c:spPr>
          <a:solidFill>
            <a:schemeClr val="accent1"/>
          </a:solidFill>
          <a:ln>
            <a:noFill/>
          </a:ln>
          <a:effectLst/>
        </c:spPr>
      </c:pivotFmt>
      <c:pivotFmt>
        <c:idx val="29"/>
        <c:spPr>
          <a:solidFill>
            <a:schemeClr val="accent1"/>
          </a:solidFill>
          <a:ln>
            <a:noFill/>
          </a:ln>
          <a:effectLst/>
        </c:spPr>
      </c:pivotFmt>
      <c:pivotFmt>
        <c:idx val="30"/>
        <c:spPr>
          <a:solidFill>
            <a:schemeClr val="accent1"/>
          </a:solidFill>
          <a:ln>
            <a:noFill/>
          </a:ln>
          <a:effectLst/>
        </c:spPr>
      </c:pivotFmt>
      <c:pivotFmt>
        <c:idx val="31"/>
        <c:spPr>
          <a:solidFill>
            <a:schemeClr val="accent1"/>
          </a:solidFill>
          <a:ln>
            <a:noFill/>
          </a:ln>
          <a:effectLst/>
        </c:spPr>
      </c:pivotFmt>
      <c:pivotFmt>
        <c:idx val="3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3"/>
        <c:spPr>
          <a:solidFill>
            <a:schemeClr val="accent1"/>
          </a:solidFill>
          <a:ln>
            <a:noFill/>
          </a:ln>
          <a:effectLst/>
        </c:spPr>
      </c:pivotFmt>
      <c:pivotFmt>
        <c:idx val="34"/>
        <c:spPr>
          <a:solidFill>
            <a:schemeClr val="accent1"/>
          </a:solidFill>
          <a:ln>
            <a:noFill/>
          </a:ln>
          <a:effectLst/>
        </c:spPr>
      </c:pivotFmt>
      <c:pivotFmt>
        <c:idx val="35"/>
        <c:spPr>
          <a:solidFill>
            <a:schemeClr val="accent1"/>
          </a:solidFill>
          <a:ln>
            <a:noFill/>
          </a:ln>
          <a:effectLst/>
        </c:spPr>
      </c:pivotFmt>
      <c:pivotFmt>
        <c:idx val="36"/>
        <c:spPr>
          <a:solidFill>
            <a:schemeClr val="accent1"/>
          </a:solidFill>
          <a:ln>
            <a:noFill/>
          </a:ln>
          <a:effectLst/>
        </c:spPr>
      </c:pivotFmt>
      <c:pivotFmt>
        <c:idx val="37"/>
        <c:spPr>
          <a:solidFill>
            <a:schemeClr val="accent1"/>
          </a:solidFill>
          <a:ln>
            <a:noFill/>
          </a:ln>
          <a:effectLst/>
        </c:spPr>
      </c:pivotFmt>
      <c:pivotFmt>
        <c:idx val="38"/>
        <c:spPr>
          <a:solidFill>
            <a:schemeClr val="accent1"/>
          </a:solidFill>
          <a:ln>
            <a:noFill/>
          </a:ln>
          <a:effectLst/>
        </c:spPr>
      </c:pivotFmt>
      <c:pivotFmt>
        <c:idx val="39"/>
        <c:spPr>
          <a:solidFill>
            <a:schemeClr val="accent1"/>
          </a:solidFill>
          <a:ln>
            <a:noFill/>
          </a:ln>
          <a:effectLst/>
        </c:spPr>
      </c:pivotFmt>
      <c:pivotFmt>
        <c:idx val="40"/>
        <c:spPr>
          <a:solidFill>
            <a:schemeClr val="accent1"/>
          </a:solidFill>
          <a:ln>
            <a:noFill/>
          </a:ln>
          <a:effectLst/>
        </c:spPr>
      </c:pivotFmt>
      <c:pivotFmt>
        <c:idx val="41"/>
        <c:spPr>
          <a:solidFill>
            <a:schemeClr val="accent1"/>
          </a:solidFill>
          <a:ln>
            <a:noFill/>
          </a:ln>
          <a:effectLst/>
        </c:spPr>
      </c:pivotFmt>
      <c:pivotFmt>
        <c:idx val="42"/>
        <c:spPr>
          <a:solidFill>
            <a:schemeClr val="accent1"/>
          </a:solidFill>
          <a:ln>
            <a:noFill/>
          </a:ln>
          <a:effectLst/>
        </c:spPr>
      </c:pivotFmt>
      <c:pivotFmt>
        <c:idx val="43"/>
        <c:spPr>
          <a:solidFill>
            <a:schemeClr val="accent1"/>
          </a:solidFill>
          <a:ln>
            <a:noFill/>
          </a:ln>
          <a:effectLst/>
        </c:spPr>
      </c:pivotFmt>
      <c:pivotFmt>
        <c:idx val="44"/>
        <c:spPr>
          <a:solidFill>
            <a:schemeClr val="accent1"/>
          </a:solidFill>
          <a:ln>
            <a:noFill/>
          </a:ln>
          <a:effectLst/>
        </c:spPr>
      </c:pivotFmt>
      <c:pivotFmt>
        <c:idx val="45"/>
        <c:spPr>
          <a:solidFill>
            <a:schemeClr val="accent1"/>
          </a:solidFill>
          <a:ln>
            <a:noFill/>
          </a:ln>
          <a:effectLst/>
        </c:spPr>
      </c:pivotFmt>
      <c:pivotFmt>
        <c:idx val="46"/>
        <c:spPr>
          <a:solidFill>
            <a:schemeClr val="accent1"/>
          </a:solidFill>
          <a:ln>
            <a:noFill/>
          </a:ln>
          <a:effectLst/>
        </c:spPr>
      </c:pivotFmt>
      <c:pivotFmt>
        <c:idx val="47"/>
        <c:spPr>
          <a:solidFill>
            <a:schemeClr val="accent1"/>
          </a:solidFill>
          <a:ln>
            <a:noFill/>
          </a:ln>
          <a:effectLst/>
        </c:spPr>
      </c:pivotFmt>
      <c:pivotFmt>
        <c:idx val="48"/>
        <c:spPr>
          <a:solidFill>
            <a:schemeClr val="accent3">
              <a:lumMod val="80000"/>
              <a:lumOff val="20000"/>
            </a:schemeClr>
          </a:solidFill>
          <a:ln>
            <a:noFill/>
          </a:ln>
          <a:effectLst/>
        </c:spPr>
        <c:dLbl>
          <c:idx val="0"/>
          <c:layout>
            <c:manualLayout>
              <c:x val="0.1070234113712374"/>
              <c:y val="-5.7324840764331239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9"/>
        <c:spPr>
          <a:solidFill>
            <a:schemeClr val="accent2">
              <a:lumMod val="80000"/>
              <a:lumOff val="20000"/>
            </a:schemeClr>
          </a:solidFill>
          <a:ln>
            <a:noFill/>
          </a:ln>
          <a:effectLst/>
        </c:spPr>
        <c:dLbl>
          <c:idx val="0"/>
          <c:layout>
            <c:manualLayout>
              <c:x val="8.0267558528428096E-2"/>
              <c:y val="-2.5477707006369397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0"/>
        <c:spPr>
          <a:solidFill>
            <a:schemeClr val="accent1">
              <a:lumMod val="80000"/>
              <a:lumOff val="20000"/>
            </a:schemeClr>
          </a:solidFill>
          <a:ln>
            <a:noFill/>
          </a:ln>
          <a:effectLst/>
        </c:spPr>
        <c:dLbl>
          <c:idx val="0"/>
          <c:layout>
            <c:manualLayout>
              <c:x val="0.14715719063545143"/>
              <c:y val="-1.2738853503184714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1"/>
        <c:spPr>
          <a:solidFill>
            <a:schemeClr val="accent6">
              <a:lumMod val="60000"/>
            </a:schemeClr>
          </a:solidFill>
          <a:ln>
            <a:noFill/>
          </a:ln>
          <a:effectLst/>
        </c:spPr>
        <c:dLbl>
          <c:idx val="0"/>
          <c:layout>
            <c:manualLayout>
              <c:x val="0.15384615384615385"/>
              <c:y val="6.369426751592357E-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2"/>
        <c:spPr>
          <a:solidFill>
            <a:schemeClr val="accent4">
              <a:lumMod val="60000"/>
            </a:schemeClr>
          </a:solidFill>
          <a:ln>
            <a:noFill/>
          </a:ln>
          <a:effectLst/>
        </c:spPr>
        <c:dLbl>
          <c:idx val="0"/>
          <c:layout>
            <c:manualLayout>
              <c:x val="0.16053511705685614"/>
              <c:y val="-6.3694267515924151E-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3"/>
        <c:spPr>
          <a:solidFill>
            <a:schemeClr val="accent5">
              <a:lumMod val="60000"/>
            </a:schemeClr>
          </a:solidFill>
          <a:ln>
            <a:noFill/>
          </a:ln>
          <a:effectLst/>
        </c:spPr>
        <c:dLbl>
          <c:idx val="0"/>
          <c:layout>
            <c:manualLayout>
              <c:x val="0.29096989966555181"/>
              <c:y val="5.8385737412575761E-17"/>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4"/>
        <c:spPr>
          <a:solidFill>
            <a:schemeClr val="accent3">
              <a:lumMod val="60000"/>
            </a:schemeClr>
          </a:solidFill>
          <a:ln>
            <a:noFill/>
          </a:ln>
          <a:effectLst/>
        </c:spPr>
        <c:dLbl>
          <c:idx val="0"/>
          <c:layout>
            <c:manualLayout>
              <c:x val="0.24080267558528429"/>
              <c:y val="6.369426751592357E-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5"/>
        <c:spPr>
          <a:solidFill>
            <a:schemeClr val="accent2">
              <a:lumMod val="60000"/>
            </a:schemeClr>
          </a:solidFill>
          <a:ln>
            <a:noFill/>
          </a:ln>
          <a:effectLst/>
        </c:spPr>
        <c:dLbl>
          <c:idx val="0"/>
          <c:layout>
            <c:manualLayout>
              <c:x val="0.13377926421404682"/>
              <c:y val="-1.1677147482515152E-16"/>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6"/>
        <c:spPr>
          <a:solidFill>
            <a:schemeClr val="accent1">
              <a:lumMod val="60000"/>
            </a:schemeClr>
          </a:solidFill>
          <a:ln>
            <a:noFill/>
          </a:ln>
          <a:effectLst/>
        </c:spPr>
        <c:dLbl>
          <c:idx val="0"/>
          <c:layout>
            <c:manualLayout>
              <c:x val="0.25083612040133779"/>
              <c:y val="-6.369426751592357E-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7"/>
        <c:spPr>
          <a:solidFill>
            <a:schemeClr val="accent1"/>
          </a:solidFill>
          <a:ln>
            <a:noFill/>
          </a:ln>
          <a:effectLst/>
        </c:spPr>
        <c:dLbl>
          <c:idx val="0"/>
          <c:layout>
            <c:manualLayout>
              <c:x val="0.23266794827904036"/>
              <c:y val="2.5477707006369428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8"/>
        <c:spPr>
          <a:solidFill>
            <a:schemeClr val="accent2"/>
          </a:solidFill>
          <a:ln>
            <a:noFill/>
          </a:ln>
          <a:effectLst/>
        </c:spPr>
        <c:dLbl>
          <c:idx val="0"/>
          <c:layout>
            <c:manualLayout>
              <c:x val="0.30434782608695654"/>
              <c:y val="-1.9108280254777187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9"/>
        <c:spPr>
          <a:solidFill>
            <a:schemeClr val="accent4"/>
          </a:solidFill>
          <a:ln>
            <a:noFill/>
          </a:ln>
          <a:effectLst/>
        </c:spPr>
        <c:dLbl>
          <c:idx val="0"/>
          <c:layout>
            <c:manualLayout>
              <c:x val="0.34448160535117056"/>
              <c:y val="-5.7324840764331211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0"/>
        <c:spPr>
          <a:solidFill>
            <a:schemeClr val="accent3"/>
          </a:solidFill>
          <a:ln>
            <a:noFill/>
          </a:ln>
          <a:effectLst/>
        </c:spPr>
        <c:dLbl>
          <c:idx val="0"/>
          <c:layout>
            <c:manualLayout>
              <c:x val="0.24080267558528429"/>
              <c:y val="-4.4585987261146494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1"/>
        <c:spPr>
          <a:solidFill>
            <a:schemeClr val="accent5"/>
          </a:solidFill>
          <a:ln>
            <a:noFill/>
          </a:ln>
          <a:effectLst/>
        </c:spPr>
        <c:dLbl>
          <c:idx val="0"/>
          <c:layout>
            <c:manualLayout>
              <c:x val="0.2608695652173913"/>
              <c:y val="-1.9108280254777187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2"/>
        <c:spPr>
          <a:solidFill>
            <a:schemeClr val="accent6"/>
          </a:solidFill>
          <a:ln>
            <a:noFill/>
          </a:ln>
          <a:effectLst/>
        </c:spPr>
        <c:dLbl>
          <c:idx val="0"/>
          <c:layout>
            <c:manualLayout>
              <c:x val="0.37123745819397991"/>
              <c:y val="-8.9171974522292988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8363152766439315"/>
          <c:y val="0.25181553738903656"/>
          <c:w val="0.71636847233560685"/>
          <c:h val="0.72434525302171626"/>
        </c:manualLayout>
      </c:layout>
      <c:barChart>
        <c:barDir val="bar"/>
        <c:grouping val="stacked"/>
        <c:varyColors val="1"/>
        <c:ser>
          <c:idx val="0"/>
          <c:order val="0"/>
          <c:tx>
            <c:strRef>
              <c:f>'Pivot Table'!$B$18</c:f>
              <c:strCache>
                <c:ptCount val="1"/>
                <c:pt idx="0">
                  <c:v>Total</c:v>
                </c:pt>
              </c:strCache>
            </c:strRef>
          </c:tx>
          <c:invertIfNegative val="0"/>
          <c:dPt>
            <c:idx val="0"/>
            <c:invertIfNegative val="0"/>
            <c:bubble3D val="0"/>
            <c:spPr>
              <a:solidFill>
                <a:schemeClr val="accent1"/>
              </a:solidFill>
              <a:ln>
                <a:noFill/>
              </a:ln>
              <a:effectLst/>
            </c:spPr>
            <c:extLst>
              <c:ext xmlns:c16="http://schemas.microsoft.com/office/drawing/2014/chart" uri="{C3380CC4-5D6E-409C-BE32-E72D297353CC}">
                <c16:uniqueId val="{00000001-5A38-4521-A21B-105CCED32CE5}"/>
              </c:ext>
            </c:extLst>
          </c:dPt>
          <c:dPt>
            <c:idx val="1"/>
            <c:invertIfNegative val="0"/>
            <c:bubble3D val="0"/>
            <c:spPr>
              <a:solidFill>
                <a:schemeClr val="accent2"/>
              </a:solidFill>
              <a:ln>
                <a:noFill/>
              </a:ln>
              <a:effectLst/>
            </c:spPr>
            <c:extLst>
              <c:ext xmlns:c16="http://schemas.microsoft.com/office/drawing/2014/chart" uri="{C3380CC4-5D6E-409C-BE32-E72D297353CC}">
                <c16:uniqueId val="{00000003-5A38-4521-A21B-105CCED32CE5}"/>
              </c:ext>
            </c:extLst>
          </c:dPt>
          <c:dPt>
            <c:idx val="2"/>
            <c:invertIfNegative val="0"/>
            <c:bubble3D val="0"/>
            <c:spPr>
              <a:solidFill>
                <a:schemeClr val="accent3"/>
              </a:solidFill>
              <a:ln>
                <a:noFill/>
              </a:ln>
              <a:effectLst/>
            </c:spPr>
            <c:extLst>
              <c:ext xmlns:c16="http://schemas.microsoft.com/office/drawing/2014/chart" uri="{C3380CC4-5D6E-409C-BE32-E72D297353CC}">
                <c16:uniqueId val="{00000005-5A38-4521-A21B-105CCED32CE5}"/>
              </c:ext>
            </c:extLst>
          </c:dPt>
          <c:dPt>
            <c:idx val="3"/>
            <c:invertIfNegative val="0"/>
            <c:bubble3D val="0"/>
            <c:spPr>
              <a:solidFill>
                <a:schemeClr val="accent4"/>
              </a:solidFill>
              <a:ln>
                <a:noFill/>
              </a:ln>
              <a:effectLst/>
            </c:spPr>
            <c:extLst>
              <c:ext xmlns:c16="http://schemas.microsoft.com/office/drawing/2014/chart" uri="{C3380CC4-5D6E-409C-BE32-E72D297353CC}">
                <c16:uniqueId val="{00000007-5A38-4521-A21B-105CCED32CE5}"/>
              </c:ext>
            </c:extLst>
          </c:dPt>
          <c:dPt>
            <c:idx val="4"/>
            <c:invertIfNegative val="0"/>
            <c:bubble3D val="0"/>
            <c:spPr>
              <a:solidFill>
                <a:schemeClr val="accent5"/>
              </a:solidFill>
              <a:ln>
                <a:noFill/>
              </a:ln>
              <a:effectLst/>
            </c:spPr>
            <c:extLst>
              <c:ext xmlns:c16="http://schemas.microsoft.com/office/drawing/2014/chart" uri="{C3380CC4-5D6E-409C-BE32-E72D297353CC}">
                <c16:uniqueId val="{00000009-5A38-4521-A21B-105CCED32CE5}"/>
              </c:ext>
            </c:extLst>
          </c:dPt>
          <c:dPt>
            <c:idx val="5"/>
            <c:invertIfNegative val="0"/>
            <c:bubble3D val="0"/>
            <c:spPr>
              <a:solidFill>
                <a:schemeClr val="accent6"/>
              </a:solidFill>
              <a:ln>
                <a:noFill/>
              </a:ln>
              <a:effectLst/>
            </c:spPr>
            <c:extLst>
              <c:ext xmlns:c16="http://schemas.microsoft.com/office/drawing/2014/chart" uri="{C3380CC4-5D6E-409C-BE32-E72D297353CC}">
                <c16:uniqueId val="{0000000B-5A38-4521-A21B-105CCED32CE5}"/>
              </c:ext>
            </c:extLst>
          </c:dPt>
          <c:dPt>
            <c:idx val="6"/>
            <c:invertIfNegative val="0"/>
            <c:bubble3D val="0"/>
            <c:spPr>
              <a:solidFill>
                <a:schemeClr val="accent1">
                  <a:lumMod val="60000"/>
                </a:schemeClr>
              </a:solidFill>
              <a:ln>
                <a:noFill/>
              </a:ln>
              <a:effectLst/>
            </c:spPr>
            <c:extLst>
              <c:ext xmlns:c16="http://schemas.microsoft.com/office/drawing/2014/chart" uri="{C3380CC4-5D6E-409C-BE32-E72D297353CC}">
                <c16:uniqueId val="{0000000D-5A38-4521-A21B-105CCED32CE5}"/>
              </c:ext>
            </c:extLst>
          </c:dPt>
          <c:dPt>
            <c:idx val="7"/>
            <c:invertIfNegative val="0"/>
            <c:bubble3D val="0"/>
            <c:spPr>
              <a:solidFill>
                <a:schemeClr val="accent2">
                  <a:lumMod val="60000"/>
                </a:schemeClr>
              </a:solidFill>
              <a:ln>
                <a:noFill/>
              </a:ln>
              <a:effectLst/>
            </c:spPr>
            <c:extLst>
              <c:ext xmlns:c16="http://schemas.microsoft.com/office/drawing/2014/chart" uri="{C3380CC4-5D6E-409C-BE32-E72D297353CC}">
                <c16:uniqueId val="{0000000F-5A38-4521-A21B-105CCED32CE5}"/>
              </c:ext>
            </c:extLst>
          </c:dPt>
          <c:dPt>
            <c:idx val="8"/>
            <c:invertIfNegative val="0"/>
            <c:bubble3D val="0"/>
            <c:spPr>
              <a:solidFill>
                <a:schemeClr val="accent3">
                  <a:lumMod val="60000"/>
                </a:schemeClr>
              </a:solidFill>
              <a:ln>
                <a:noFill/>
              </a:ln>
              <a:effectLst/>
            </c:spPr>
            <c:extLst>
              <c:ext xmlns:c16="http://schemas.microsoft.com/office/drawing/2014/chart" uri="{C3380CC4-5D6E-409C-BE32-E72D297353CC}">
                <c16:uniqueId val="{00000011-5A38-4521-A21B-105CCED32CE5}"/>
              </c:ext>
            </c:extLst>
          </c:dPt>
          <c:dPt>
            <c:idx val="9"/>
            <c:invertIfNegative val="0"/>
            <c:bubble3D val="0"/>
            <c:spPr>
              <a:solidFill>
                <a:schemeClr val="accent4">
                  <a:lumMod val="60000"/>
                </a:schemeClr>
              </a:solidFill>
              <a:ln>
                <a:noFill/>
              </a:ln>
              <a:effectLst/>
            </c:spPr>
            <c:extLst>
              <c:ext xmlns:c16="http://schemas.microsoft.com/office/drawing/2014/chart" uri="{C3380CC4-5D6E-409C-BE32-E72D297353CC}">
                <c16:uniqueId val="{00000013-5A38-4521-A21B-105CCED32CE5}"/>
              </c:ext>
            </c:extLst>
          </c:dPt>
          <c:dPt>
            <c:idx val="10"/>
            <c:invertIfNegative val="0"/>
            <c:bubble3D val="0"/>
            <c:spPr>
              <a:solidFill>
                <a:schemeClr val="accent5">
                  <a:lumMod val="60000"/>
                </a:schemeClr>
              </a:solidFill>
              <a:ln>
                <a:noFill/>
              </a:ln>
              <a:effectLst/>
            </c:spPr>
            <c:extLst>
              <c:ext xmlns:c16="http://schemas.microsoft.com/office/drawing/2014/chart" uri="{C3380CC4-5D6E-409C-BE32-E72D297353CC}">
                <c16:uniqueId val="{00000015-5A38-4521-A21B-105CCED32CE5}"/>
              </c:ext>
            </c:extLst>
          </c:dPt>
          <c:dPt>
            <c:idx val="11"/>
            <c:invertIfNegative val="0"/>
            <c:bubble3D val="0"/>
            <c:spPr>
              <a:solidFill>
                <a:schemeClr val="accent6">
                  <a:lumMod val="60000"/>
                </a:schemeClr>
              </a:solidFill>
              <a:ln>
                <a:noFill/>
              </a:ln>
              <a:effectLst/>
            </c:spPr>
            <c:extLst>
              <c:ext xmlns:c16="http://schemas.microsoft.com/office/drawing/2014/chart" uri="{C3380CC4-5D6E-409C-BE32-E72D297353CC}">
                <c16:uniqueId val="{00000017-5A38-4521-A21B-105CCED32CE5}"/>
              </c:ext>
            </c:extLst>
          </c:dPt>
          <c:dPt>
            <c:idx val="12"/>
            <c:invertIfNegative val="0"/>
            <c:bubble3D val="0"/>
            <c:spPr>
              <a:solidFill>
                <a:schemeClr val="accent1">
                  <a:lumMod val="80000"/>
                  <a:lumOff val="20000"/>
                </a:schemeClr>
              </a:solidFill>
              <a:ln>
                <a:noFill/>
              </a:ln>
              <a:effectLst/>
            </c:spPr>
            <c:extLst>
              <c:ext xmlns:c16="http://schemas.microsoft.com/office/drawing/2014/chart" uri="{C3380CC4-5D6E-409C-BE32-E72D297353CC}">
                <c16:uniqueId val="{00000019-5A38-4521-A21B-105CCED32CE5}"/>
              </c:ext>
            </c:extLst>
          </c:dPt>
          <c:dPt>
            <c:idx val="13"/>
            <c:invertIfNegative val="0"/>
            <c:bubble3D val="0"/>
            <c:spPr>
              <a:solidFill>
                <a:schemeClr val="accent2">
                  <a:lumMod val="80000"/>
                  <a:lumOff val="20000"/>
                </a:schemeClr>
              </a:solidFill>
              <a:ln>
                <a:noFill/>
              </a:ln>
              <a:effectLst/>
            </c:spPr>
            <c:extLst>
              <c:ext xmlns:c16="http://schemas.microsoft.com/office/drawing/2014/chart" uri="{C3380CC4-5D6E-409C-BE32-E72D297353CC}">
                <c16:uniqueId val="{0000001B-5A38-4521-A21B-105CCED32CE5}"/>
              </c:ext>
            </c:extLst>
          </c:dPt>
          <c:dPt>
            <c:idx val="14"/>
            <c:invertIfNegative val="0"/>
            <c:bubble3D val="0"/>
            <c:spPr>
              <a:solidFill>
                <a:schemeClr val="accent3">
                  <a:lumMod val="80000"/>
                  <a:lumOff val="20000"/>
                </a:schemeClr>
              </a:solidFill>
              <a:ln>
                <a:noFill/>
              </a:ln>
              <a:effectLst/>
            </c:spPr>
            <c:extLst>
              <c:ext xmlns:c16="http://schemas.microsoft.com/office/drawing/2014/chart" uri="{C3380CC4-5D6E-409C-BE32-E72D297353CC}">
                <c16:uniqueId val="{0000001D-5A38-4521-A21B-105CCED32CE5}"/>
              </c:ext>
            </c:extLst>
          </c:dPt>
          <c:dLbls>
            <c:dLbl>
              <c:idx val="0"/>
              <c:layout>
                <c:manualLayout>
                  <c:x val="0.23266794827904036"/>
                  <c:y val="2.5477707006369428E-2"/>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5A38-4521-A21B-105CCED32CE5}"/>
                </c:ext>
              </c:extLst>
            </c:dLbl>
            <c:dLbl>
              <c:idx val="1"/>
              <c:layout>
                <c:manualLayout>
                  <c:x val="0.30434782608695654"/>
                  <c:y val="-1.9108280254777187E-2"/>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5A38-4521-A21B-105CCED32CE5}"/>
                </c:ext>
              </c:extLst>
            </c:dLbl>
            <c:dLbl>
              <c:idx val="2"/>
              <c:layout>
                <c:manualLayout>
                  <c:x val="0.24080267558528429"/>
                  <c:y val="-4.4585987261146494E-2"/>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5A38-4521-A21B-105CCED32CE5}"/>
                </c:ext>
              </c:extLst>
            </c:dLbl>
            <c:dLbl>
              <c:idx val="3"/>
              <c:layout>
                <c:manualLayout>
                  <c:x val="0.34448160535117056"/>
                  <c:y val="-5.7324840764331211E-2"/>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5A38-4521-A21B-105CCED32CE5}"/>
                </c:ext>
              </c:extLst>
            </c:dLbl>
            <c:dLbl>
              <c:idx val="4"/>
              <c:layout>
                <c:manualLayout>
                  <c:x val="0.2608695652173913"/>
                  <c:y val="-1.9108280254777187E-2"/>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5A38-4521-A21B-105CCED32CE5}"/>
                </c:ext>
              </c:extLst>
            </c:dLbl>
            <c:dLbl>
              <c:idx val="5"/>
              <c:layout>
                <c:manualLayout>
                  <c:x val="0.37123745819397991"/>
                  <c:y val="-8.9171974522292988E-2"/>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5A38-4521-A21B-105CCED32CE5}"/>
                </c:ext>
              </c:extLst>
            </c:dLbl>
            <c:dLbl>
              <c:idx val="6"/>
              <c:layout>
                <c:manualLayout>
                  <c:x val="0.25083612040133779"/>
                  <c:y val="-6.369426751592357E-3"/>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5A38-4521-A21B-105CCED32CE5}"/>
                </c:ext>
              </c:extLst>
            </c:dLbl>
            <c:dLbl>
              <c:idx val="7"/>
              <c:layout>
                <c:manualLayout>
                  <c:x val="0.13377926421404682"/>
                  <c:y val="-1.1677147482515152E-16"/>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5A38-4521-A21B-105CCED32CE5}"/>
                </c:ext>
              </c:extLst>
            </c:dLbl>
            <c:dLbl>
              <c:idx val="8"/>
              <c:layout>
                <c:manualLayout>
                  <c:x val="0.24080267558528429"/>
                  <c:y val="6.369426751592357E-3"/>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5A38-4521-A21B-105CCED32CE5}"/>
                </c:ext>
              </c:extLst>
            </c:dLbl>
            <c:dLbl>
              <c:idx val="9"/>
              <c:layout>
                <c:manualLayout>
                  <c:x val="0.16053511705685614"/>
                  <c:y val="-6.3694267515924151E-3"/>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3-5A38-4521-A21B-105CCED32CE5}"/>
                </c:ext>
              </c:extLst>
            </c:dLbl>
            <c:dLbl>
              <c:idx val="10"/>
              <c:layout>
                <c:manualLayout>
                  <c:x val="0.29096989966555181"/>
                  <c:y val="5.8385737412575761E-17"/>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5-5A38-4521-A21B-105CCED32CE5}"/>
                </c:ext>
              </c:extLst>
            </c:dLbl>
            <c:dLbl>
              <c:idx val="11"/>
              <c:layout>
                <c:manualLayout>
                  <c:x val="0.15384615384615385"/>
                  <c:y val="6.369426751592357E-3"/>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7-5A38-4521-A21B-105CCED32CE5}"/>
                </c:ext>
              </c:extLst>
            </c:dLbl>
            <c:dLbl>
              <c:idx val="12"/>
              <c:layout>
                <c:manualLayout>
                  <c:x val="0.14715719063545143"/>
                  <c:y val="-1.2738853503184714E-2"/>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9-5A38-4521-A21B-105CCED32CE5}"/>
                </c:ext>
              </c:extLst>
            </c:dLbl>
            <c:dLbl>
              <c:idx val="13"/>
              <c:layout>
                <c:manualLayout>
                  <c:x val="8.0267558528428096E-2"/>
                  <c:y val="-2.5477707006369397E-2"/>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B-5A38-4521-A21B-105CCED32CE5}"/>
                </c:ext>
              </c:extLst>
            </c:dLbl>
            <c:dLbl>
              <c:idx val="14"/>
              <c:layout>
                <c:manualLayout>
                  <c:x val="0.1070234113712374"/>
                  <c:y val="-5.7324840764331239E-2"/>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D-5A38-4521-A21B-105CCED32CE5}"/>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 Table'!$A$19:$A$34</c:f>
              <c:strCache>
                <c:ptCount val="15"/>
                <c:pt idx="0">
                  <c:v>Mohamed Abdi</c:v>
                </c:pt>
                <c:pt idx="1">
                  <c:v>Asha Yusuf</c:v>
                </c:pt>
                <c:pt idx="2">
                  <c:v>Ahmed Ali</c:v>
                </c:pt>
                <c:pt idx="3">
                  <c:v>Hassan Omar</c:v>
                </c:pt>
                <c:pt idx="4">
                  <c:v>Grace Wanjiku</c:v>
                </c:pt>
                <c:pt idx="5">
                  <c:v>John Kamau</c:v>
                </c:pt>
                <c:pt idx="6">
                  <c:v>Daniel Bekele</c:v>
                </c:pt>
                <c:pt idx="7">
                  <c:v>Marta Alemu</c:v>
                </c:pt>
                <c:pt idx="8">
                  <c:v>Mariam Ali</c:v>
                </c:pt>
                <c:pt idx="9">
                  <c:v>Hassan Noor</c:v>
                </c:pt>
                <c:pt idx="10">
                  <c:v>Hana Tesfaye</c:v>
                </c:pt>
                <c:pt idx="11">
                  <c:v>Ismail Warsama</c:v>
                </c:pt>
                <c:pt idx="12">
                  <c:v>Omar Hassan</c:v>
                </c:pt>
                <c:pt idx="13">
                  <c:v>Fatouma Mohamed</c:v>
                </c:pt>
                <c:pt idx="14">
                  <c:v>Abebe Tadesse</c:v>
                </c:pt>
              </c:strCache>
            </c:strRef>
          </c:cat>
          <c:val>
            <c:numRef>
              <c:f>'Pivot Table'!$B$19:$B$34</c:f>
              <c:numCache>
                <c:formatCode>"$"#,##0</c:formatCode>
                <c:ptCount val="15"/>
                <c:pt idx="0">
                  <c:v>51400</c:v>
                </c:pt>
                <c:pt idx="1">
                  <c:v>39390</c:v>
                </c:pt>
                <c:pt idx="2">
                  <c:v>36845</c:v>
                </c:pt>
                <c:pt idx="3">
                  <c:v>34010</c:v>
                </c:pt>
                <c:pt idx="4">
                  <c:v>23800</c:v>
                </c:pt>
                <c:pt idx="5">
                  <c:v>19705</c:v>
                </c:pt>
                <c:pt idx="6">
                  <c:v>13770</c:v>
                </c:pt>
                <c:pt idx="7">
                  <c:v>12160</c:v>
                </c:pt>
                <c:pt idx="8">
                  <c:v>12100</c:v>
                </c:pt>
                <c:pt idx="9">
                  <c:v>11320</c:v>
                </c:pt>
                <c:pt idx="10">
                  <c:v>11230</c:v>
                </c:pt>
                <c:pt idx="11">
                  <c:v>10925</c:v>
                </c:pt>
                <c:pt idx="12">
                  <c:v>10890</c:v>
                </c:pt>
                <c:pt idx="13">
                  <c:v>5010</c:v>
                </c:pt>
                <c:pt idx="14">
                  <c:v>2115</c:v>
                </c:pt>
              </c:numCache>
            </c:numRef>
          </c:val>
          <c:extLst>
            <c:ext xmlns:c16="http://schemas.microsoft.com/office/drawing/2014/chart" uri="{C3380CC4-5D6E-409C-BE32-E72D297353CC}">
              <c16:uniqueId val="{0000001E-5A38-4521-A21B-105CCED32CE5}"/>
            </c:ext>
          </c:extLst>
        </c:ser>
        <c:dLbls>
          <c:dLblPos val="ctr"/>
          <c:showLegendKey val="0"/>
          <c:showVal val="1"/>
          <c:showCatName val="0"/>
          <c:showSerName val="0"/>
          <c:showPercent val="0"/>
          <c:showBubbleSize val="0"/>
        </c:dLbls>
        <c:gapWidth val="79"/>
        <c:overlap val="100"/>
        <c:axId val="1021050463"/>
        <c:axId val="1020561167"/>
      </c:barChart>
      <c:catAx>
        <c:axId val="102105046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1" i="0" u="none" strike="noStrike" kern="1200" cap="all" spc="120" normalizeH="0" baseline="0">
                <a:solidFill>
                  <a:schemeClr val="tx1">
                    <a:lumMod val="65000"/>
                    <a:lumOff val="35000"/>
                  </a:schemeClr>
                </a:solidFill>
                <a:latin typeface="+mn-lt"/>
                <a:ea typeface="+mn-ea"/>
                <a:cs typeface="+mn-cs"/>
              </a:defRPr>
            </a:pPr>
            <a:endParaRPr lang="en-US"/>
          </a:p>
        </c:txPr>
        <c:crossAx val="1020561167"/>
        <c:crosses val="autoZero"/>
        <c:auto val="1"/>
        <c:lblAlgn val="ctr"/>
        <c:lblOffset val="100"/>
        <c:noMultiLvlLbl val="0"/>
      </c:catAx>
      <c:valAx>
        <c:axId val="1020561167"/>
        <c:scaling>
          <c:orientation val="minMax"/>
        </c:scaling>
        <c:delete val="1"/>
        <c:axPos val="b"/>
        <c:numFmt formatCode="&quot;$&quot;#,##0" sourceLinked="1"/>
        <c:majorTickMark val="none"/>
        <c:minorTickMark val="none"/>
        <c:tickLblPos val="nextTo"/>
        <c:crossAx val="102105046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9">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12700" cap="flat" cmpd="sng" algn="ctr">
        <a:solidFill>
          <a:schemeClr val="lt1"/>
        </a:solidFill>
        <a:round/>
      </a:ln>
    </cs:spPr>
    <cs:defRPr sz="900" kern="1200" spc="10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dk1"/>
    </cs:fontRef>
    <cs:spPr>
      <a:ln w="9525" cap="flat" cmpd="sng" algn="ctr">
        <a:gradFill>
          <a:gsLst>
            <a:gs pos="0">
              <a:schemeClr val="lt1"/>
            </a:gs>
            <a:gs pos="100000">
              <a:schemeClr val="lt1">
                <a:alpha val="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98">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hyperlink" Target="#Dashboard!A1"/><Relationship Id="rId1" Type="http://schemas.openxmlformats.org/officeDocument/2006/relationships/chart" Target="../charts/chart1.xml"/><Relationship Id="rId4" Type="http://schemas.openxmlformats.org/officeDocument/2006/relationships/image" Target="../media/image2.svg"/></Relationships>
</file>

<file path=xl/drawings/_rels/drawing2.xml.rels><?xml version="1.0" encoding="UTF-8" standalone="yes"?>
<Relationships xmlns="http://schemas.openxmlformats.org/package/2006/relationships"><Relationship Id="rId8" Type="http://schemas.openxmlformats.org/officeDocument/2006/relationships/chart" Target="../charts/chart6.xml"/><Relationship Id="rId3" Type="http://schemas.openxmlformats.org/officeDocument/2006/relationships/image" Target="../media/image5.png"/><Relationship Id="rId7" Type="http://schemas.openxmlformats.org/officeDocument/2006/relationships/chart" Target="../charts/chart5.xml"/><Relationship Id="rId12" Type="http://schemas.openxmlformats.org/officeDocument/2006/relationships/image" Target="../media/image6.png"/><Relationship Id="rId2" Type="http://schemas.openxmlformats.org/officeDocument/2006/relationships/image" Target="../media/image4.png"/><Relationship Id="rId1" Type="http://schemas.openxmlformats.org/officeDocument/2006/relationships/image" Target="../media/image3.png"/><Relationship Id="rId6" Type="http://schemas.openxmlformats.org/officeDocument/2006/relationships/chart" Target="../charts/chart4.xml"/><Relationship Id="rId11" Type="http://schemas.openxmlformats.org/officeDocument/2006/relationships/hyperlink" Target="#'Pivot Table'!A1"/><Relationship Id="rId5" Type="http://schemas.openxmlformats.org/officeDocument/2006/relationships/chart" Target="../charts/chart3.xml"/><Relationship Id="rId10" Type="http://schemas.openxmlformats.org/officeDocument/2006/relationships/hyperlink" Target="#'Row data'!A1"/><Relationship Id="rId4" Type="http://schemas.openxmlformats.org/officeDocument/2006/relationships/chart" Target="../charts/chart2.xml"/><Relationship Id="rId9" Type="http://schemas.openxmlformats.org/officeDocument/2006/relationships/chart" Target="../charts/chart7.xml"/></Relationships>
</file>

<file path=xl/drawings/_rels/drawing3.xml.rels><?xml version="1.0" encoding="UTF-8" standalone="yes"?>
<Relationships xmlns="http://schemas.openxmlformats.org/package/2006/relationships"><Relationship Id="rId3" Type="http://schemas.openxmlformats.org/officeDocument/2006/relationships/image" Target="../media/image2.svg"/><Relationship Id="rId2" Type="http://schemas.openxmlformats.org/officeDocument/2006/relationships/image" Target="../media/image1.png"/><Relationship Id="rId1" Type="http://schemas.openxmlformats.org/officeDocument/2006/relationships/hyperlink" Target="#Dashboard!A1"/></Relationships>
</file>

<file path=xl/drawings/drawing1.xml><?xml version="1.0" encoding="utf-8"?>
<xdr:wsDr xmlns:xdr="http://schemas.openxmlformats.org/drawingml/2006/spreadsheetDrawing" xmlns:a="http://schemas.openxmlformats.org/drawingml/2006/main">
  <xdr:twoCellAnchor>
    <xdr:from>
      <xdr:col>30</xdr:col>
      <xdr:colOff>508000</xdr:colOff>
      <xdr:row>1</xdr:row>
      <xdr:rowOff>76200</xdr:rowOff>
    </xdr:from>
    <xdr:to>
      <xdr:col>33</xdr:col>
      <xdr:colOff>209550</xdr:colOff>
      <xdr:row>11</xdr:row>
      <xdr:rowOff>6350</xdr:rowOff>
    </xdr:to>
    <xdr:graphicFrame macro="">
      <xdr:nvGraphicFramePr>
        <xdr:cNvPr id="9" name="Chart 8">
          <a:extLst>
            <a:ext uri="{FF2B5EF4-FFF2-40B4-BE49-F238E27FC236}">
              <a16:creationId xmlns:a16="http://schemas.microsoft.com/office/drawing/2014/main" id="{F3C99A83-80D5-9B92-BD34-5DD4AA11C5C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3</xdr:col>
      <xdr:colOff>266700</xdr:colOff>
      <xdr:row>9</xdr:row>
      <xdr:rowOff>120650</xdr:rowOff>
    </xdr:from>
    <xdr:to>
      <xdr:col>3</xdr:col>
      <xdr:colOff>774700</xdr:colOff>
      <xdr:row>12</xdr:row>
      <xdr:rowOff>38100</xdr:rowOff>
    </xdr:to>
    <xdr:pic>
      <xdr:nvPicPr>
        <xdr:cNvPr id="2" name="Graphic 1" descr="Bank with solid fill">
          <a:hlinkClick xmlns:r="http://schemas.openxmlformats.org/officeDocument/2006/relationships" r:id="rId2"/>
          <a:extLst>
            <a:ext uri="{FF2B5EF4-FFF2-40B4-BE49-F238E27FC236}">
              <a16:creationId xmlns:a16="http://schemas.microsoft.com/office/drawing/2014/main" id="{C6CF5426-610D-4430-A3FA-755248A3E4DD}"/>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3397250" y="1866900"/>
          <a:ext cx="508000" cy="5080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234950</xdr:colOff>
      <xdr:row>0</xdr:row>
      <xdr:rowOff>0</xdr:rowOff>
    </xdr:from>
    <xdr:to>
      <xdr:col>3</xdr:col>
      <xdr:colOff>234950</xdr:colOff>
      <xdr:row>3</xdr:row>
      <xdr:rowOff>146050</xdr:rowOff>
    </xdr:to>
    <xdr:pic>
      <xdr:nvPicPr>
        <xdr:cNvPr id="4" name="Picture 3">
          <a:extLst>
            <a:ext uri="{FF2B5EF4-FFF2-40B4-BE49-F238E27FC236}">
              <a16:creationId xmlns:a16="http://schemas.microsoft.com/office/drawing/2014/main" id="{FB40D7BA-4AB3-A0C3-9FB3-DEE8CC377029}"/>
            </a:ext>
          </a:extLst>
        </xdr:cNvPr>
        <xdr:cNvPicPr>
          <a:picLocks noChangeAspect="1"/>
        </xdr:cNvPicPr>
      </xdr:nvPicPr>
      <xdr:blipFill>
        <a:blip xmlns:r="http://schemas.openxmlformats.org/officeDocument/2006/relationships" r:embed="rId1"/>
        <a:stretch>
          <a:fillRect/>
        </a:stretch>
      </xdr:blipFill>
      <xdr:spPr>
        <a:xfrm>
          <a:off x="234950" y="0"/>
          <a:ext cx="1828800" cy="698500"/>
        </a:xfrm>
        <a:prstGeom prst="rect">
          <a:avLst/>
        </a:prstGeom>
      </xdr:spPr>
    </xdr:pic>
    <xdr:clientData/>
  </xdr:twoCellAnchor>
  <xdr:twoCellAnchor>
    <xdr:from>
      <xdr:col>3</xdr:col>
      <xdr:colOff>241300</xdr:colOff>
      <xdr:row>0</xdr:row>
      <xdr:rowOff>25400</xdr:rowOff>
    </xdr:from>
    <xdr:to>
      <xdr:col>12</xdr:col>
      <xdr:colOff>590550</xdr:colOff>
      <xdr:row>2</xdr:row>
      <xdr:rowOff>25400</xdr:rowOff>
    </xdr:to>
    <xdr:sp macro="" textlink="">
      <xdr:nvSpPr>
        <xdr:cNvPr id="2" name="Rectangle 1">
          <a:extLst>
            <a:ext uri="{FF2B5EF4-FFF2-40B4-BE49-F238E27FC236}">
              <a16:creationId xmlns:a16="http://schemas.microsoft.com/office/drawing/2014/main" id="{330F7297-8F16-8D6C-C2A6-310B509DB8E2}"/>
            </a:ext>
          </a:extLst>
        </xdr:cNvPr>
        <xdr:cNvSpPr/>
      </xdr:nvSpPr>
      <xdr:spPr>
        <a:xfrm>
          <a:off x="2070100" y="25400"/>
          <a:ext cx="5835650" cy="368300"/>
        </a:xfrm>
        <a:prstGeom prst="rect">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222250</xdr:colOff>
      <xdr:row>0</xdr:row>
      <xdr:rowOff>19050</xdr:rowOff>
    </xdr:from>
    <xdr:to>
      <xdr:col>12</xdr:col>
      <xdr:colOff>590550</xdr:colOff>
      <xdr:row>2</xdr:row>
      <xdr:rowOff>50800</xdr:rowOff>
    </xdr:to>
    <xdr:sp macro="" textlink="">
      <xdr:nvSpPr>
        <xdr:cNvPr id="3" name="TextBox 2">
          <a:extLst>
            <a:ext uri="{FF2B5EF4-FFF2-40B4-BE49-F238E27FC236}">
              <a16:creationId xmlns:a16="http://schemas.microsoft.com/office/drawing/2014/main" id="{0679F713-4575-F1B8-56F0-464FDAB9F76C}"/>
            </a:ext>
          </a:extLst>
        </xdr:cNvPr>
        <xdr:cNvSpPr txBox="1"/>
      </xdr:nvSpPr>
      <xdr:spPr>
        <a:xfrm>
          <a:off x="2051050" y="19050"/>
          <a:ext cx="5854700" cy="400050"/>
        </a:xfrm>
        <a:prstGeom prst="rect">
          <a:avLst/>
        </a:prstGeom>
        <a:solidFill>
          <a:schemeClr val="accent2"/>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a:solidFill>
                <a:schemeClr val="bg1"/>
              </a:solidFill>
            </a:rPr>
            <a:t>📊 Nexora Technologies Sales Performance Dashboard  </a:t>
          </a:r>
          <a:r>
            <a:rPr lang="en-US" sz="2400" b="1">
              <a:solidFill>
                <a:schemeClr val="tx2"/>
              </a:solidFill>
              <a:latin typeface="Times New Roman" panose="02020603050405020304" pitchFamily="18" charset="0"/>
              <a:cs typeface="Times New Roman" panose="02020603050405020304" pitchFamily="18" charset="0"/>
            </a:rPr>
            <a:t>2026</a:t>
          </a:r>
        </a:p>
      </xdr:txBody>
    </xdr:sp>
    <xdr:clientData/>
  </xdr:twoCellAnchor>
  <xdr:twoCellAnchor>
    <xdr:from>
      <xdr:col>0</xdr:col>
      <xdr:colOff>12700</xdr:colOff>
      <xdr:row>3</xdr:row>
      <xdr:rowOff>44450</xdr:rowOff>
    </xdr:from>
    <xdr:to>
      <xdr:col>1</xdr:col>
      <xdr:colOff>520700</xdr:colOff>
      <xdr:row>12</xdr:row>
      <xdr:rowOff>165100</xdr:rowOff>
    </xdr:to>
    <xdr:sp macro="" textlink="">
      <xdr:nvSpPr>
        <xdr:cNvPr id="5" name="Rectangle 4">
          <a:extLst>
            <a:ext uri="{FF2B5EF4-FFF2-40B4-BE49-F238E27FC236}">
              <a16:creationId xmlns:a16="http://schemas.microsoft.com/office/drawing/2014/main" id="{D631C7BC-9DDB-CB33-65D6-8015902BA96F}"/>
            </a:ext>
          </a:extLst>
        </xdr:cNvPr>
        <xdr:cNvSpPr/>
      </xdr:nvSpPr>
      <xdr:spPr>
        <a:xfrm>
          <a:off x="12700" y="596900"/>
          <a:ext cx="1117600" cy="1778000"/>
        </a:xfrm>
        <a:prstGeom prst="rect">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0</xdr:colOff>
      <xdr:row>14</xdr:row>
      <xdr:rowOff>139700</xdr:rowOff>
    </xdr:from>
    <xdr:to>
      <xdr:col>1</xdr:col>
      <xdr:colOff>508000</xdr:colOff>
      <xdr:row>23</xdr:row>
      <xdr:rowOff>25400</xdr:rowOff>
    </xdr:to>
    <xdr:sp macro="" textlink="">
      <xdr:nvSpPr>
        <xdr:cNvPr id="6" name="Rectangle 5">
          <a:extLst>
            <a:ext uri="{FF2B5EF4-FFF2-40B4-BE49-F238E27FC236}">
              <a16:creationId xmlns:a16="http://schemas.microsoft.com/office/drawing/2014/main" id="{51FA4F74-3520-4C1E-B830-D0E01A2F7F4F}"/>
            </a:ext>
          </a:extLst>
        </xdr:cNvPr>
        <xdr:cNvSpPr/>
      </xdr:nvSpPr>
      <xdr:spPr>
        <a:xfrm>
          <a:off x="0" y="2717800"/>
          <a:ext cx="1117600" cy="1543050"/>
        </a:xfrm>
        <a:prstGeom prst="rect">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571500</xdr:colOff>
      <xdr:row>2</xdr:row>
      <xdr:rowOff>107950</xdr:rowOff>
    </xdr:from>
    <xdr:to>
      <xdr:col>6</xdr:col>
      <xdr:colOff>165100</xdr:colOff>
      <xdr:row>5</xdr:row>
      <xdr:rowOff>82550</xdr:rowOff>
    </xdr:to>
    <xdr:sp macro="" textlink="">
      <xdr:nvSpPr>
        <xdr:cNvPr id="7" name="Rectangle 6">
          <a:extLst>
            <a:ext uri="{FF2B5EF4-FFF2-40B4-BE49-F238E27FC236}">
              <a16:creationId xmlns:a16="http://schemas.microsoft.com/office/drawing/2014/main" id="{C67CB9BF-DC01-4547-4AB5-C6A6F4BBB70D}"/>
            </a:ext>
          </a:extLst>
        </xdr:cNvPr>
        <xdr:cNvSpPr/>
      </xdr:nvSpPr>
      <xdr:spPr>
        <a:xfrm>
          <a:off x="2400300" y="476250"/>
          <a:ext cx="1422400" cy="527050"/>
        </a:xfrm>
        <a:prstGeom prst="rect">
          <a:avLst/>
        </a:prstGeom>
        <a:solidFill>
          <a:srgbClr val="00B05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209550</xdr:colOff>
      <xdr:row>2</xdr:row>
      <xdr:rowOff>82550</xdr:rowOff>
    </xdr:from>
    <xdr:to>
      <xdr:col>6</xdr:col>
      <xdr:colOff>247650</xdr:colOff>
      <xdr:row>4</xdr:row>
      <xdr:rowOff>0</xdr:rowOff>
    </xdr:to>
    <xdr:sp macro="" textlink="">
      <xdr:nvSpPr>
        <xdr:cNvPr id="8" name="TextBox 7">
          <a:extLst>
            <a:ext uri="{FF2B5EF4-FFF2-40B4-BE49-F238E27FC236}">
              <a16:creationId xmlns:a16="http://schemas.microsoft.com/office/drawing/2014/main" id="{6BF7B970-51D8-DAFC-88F6-BC67B1900BF5}"/>
            </a:ext>
          </a:extLst>
        </xdr:cNvPr>
        <xdr:cNvSpPr txBox="1"/>
      </xdr:nvSpPr>
      <xdr:spPr>
        <a:xfrm>
          <a:off x="2647950" y="450850"/>
          <a:ext cx="1257300" cy="285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a:solidFill>
                <a:schemeClr val="bg1"/>
              </a:solidFill>
            </a:rPr>
            <a:t>Total Sales</a:t>
          </a:r>
        </a:p>
      </xdr:txBody>
    </xdr:sp>
    <xdr:clientData/>
  </xdr:twoCellAnchor>
  <xdr:twoCellAnchor editAs="oneCell">
    <xdr:from>
      <xdr:col>3</xdr:col>
      <xdr:colOff>552449</xdr:colOff>
      <xdr:row>2</xdr:row>
      <xdr:rowOff>139700</xdr:rowOff>
    </xdr:from>
    <xdr:to>
      <xdr:col>4</xdr:col>
      <xdr:colOff>252498</xdr:colOff>
      <xdr:row>4</xdr:row>
      <xdr:rowOff>19050</xdr:rowOff>
    </xdr:to>
    <xdr:pic>
      <xdr:nvPicPr>
        <xdr:cNvPr id="11" name="Picture 10">
          <a:extLst>
            <a:ext uri="{FF2B5EF4-FFF2-40B4-BE49-F238E27FC236}">
              <a16:creationId xmlns:a16="http://schemas.microsoft.com/office/drawing/2014/main" id="{142C7F13-D5B0-B9D6-1B96-C9494AF2D5E4}"/>
            </a:ext>
          </a:extLst>
        </xdr:cNvPr>
        <xdr:cNvPicPr>
          <a:picLocks noChangeAspect="1"/>
        </xdr:cNvPicPr>
      </xdr:nvPicPr>
      <xdr:blipFill>
        <a:blip xmlns:r="http://schemas.openxmlformats.org/officeDocument/2006/relationships" r:embed="rId2">
          <a:grayscl/>
        </a:blip>
        <a:stretch>
          <a:fillRect/>
        </a:stretch>
      </xdr:blipFill>
      <xdr:spPr>
        <a:xfrm>
          <a:off x="2381249" y="508000"/>
          <a:ext cx="309649" cy="247650"/>
        </a:xfrm>
        <a:prstGeom prst="rect">
          <a:avLst/>
        </a:prstGeom>
      </xdr:spPr>
    </xdr:pic>
    <xdr:clientData/>
  </xdr:twoCellAnchor>
  <xdr:twoCellAnchor>
    <xdr:from>
      <xdr:col>6</xdr:col>
      <xdr:colOff>558800</xdr:colOff>
      <xdr:row>2</xdr:row>
      <xdr:rowOff>101600</xdr:rowOff>
    </xdr:from>
    <xdr:to>
      <xdr:col>10</xdr:col>
      <xdr:colOff>50800</xdr:colOff>
      <xdr:row>5</xdr:row>
      <xdr:rowOff>69850</xdr:rowOff>
    </xdr:to>
    <xdr:sp macro="" textlink="">
      <xdr:nvSpPr>
        <xdr:cNvPr id="13" name="Rectangle 12">
          <a:extLst>
            <a:ext uri="{FF2B5EF4-FFF2-40B4-BE49-F238E27FC236}">
              <a16:creationId xmlns:a16="http://schemas.microsoft.com/office/drawing/2014/main" id="{CE32733C-7544-4EE2-91A9-63D5F8829286}"/>
            </a:ext>
          </a:extLst>
        </xdr:cNvPr>
        <xdr:cNvSpPr/>
      </xdr:nvSpPr>
      <xdr:spPr>
        <a:xfrm>
          <a:off x="4216400" y="469900"/>
          <a:ext cx="1930400" cy="520700"/>
        </a:xfrm>
        <a:prstGeom prst="rect">
          <a:avLst/>
        </a:prstGeom>
        <a:solidFill>
          <a:srgbClr val="00B05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171450</xdr:colOff>
      <xdr:row>2</xdr:row>
      <xdr:rowOff>82550</xdr:rowOff>
    </xdr:from>
    <xdr:to>
      <xdr:col>10</xdr:col>
      <xdr:colOff>120650</xdr:colOff>
      <xdr:row>3</xdr:row>
      <xdr:rowOff>152400</xdr:rowOff>
    </xdr:to>
    <xdr:sp macro="" textlink="">
      <xdr:nvSpPr>
        <xdr:cNvPr id="15" name="TextBox 14">
          <a:extLst>
            <a:ext uri="{FF2B5EF4-FFF2-40B4-BE49-F238E27FC236}">
              <a16:creationId xmlns:a16="http://schemas.microsoft.com/office/drawing/2014/main" id="{15FE456C-7674-45E4-B805-2EEFCB19C830}"/>
            </a:ext>
          </a:extLst>
        </xdr:cNvPr>
        <xdr:cNvSpPr txBox="1"/>
      </xdr:nvSpPr>
      <xdr:spPr>
        <a:xfrm>
          <a:off x="4438650" y="450850"/>
          <a:ext cx="1778000" cy="254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a:solidFill>
                <a:schemeClr val="bg1"/>
              </a:solidFill>
            </a:rPr>
            <a:t>Total Quantity Sold</a:t>
          </a:r>
        </a:p>
      </xdr:txBody>
    </xdr:sp>
    <xdr:clientData/>
  </xdr:twoCellAnchor>
  <xdr:twoCellAnchor editAs="oneCell">
    <xdr:from>
      <xdr:col>6</xdr:col>
      <xdr:colOff>577850</xdr:colOff>
      <xdr:row>2</xdr:row>
      <xdr:rowOff>95250</xdr:rowOff>
    </xdr:from>
    <xdr:to>
      <xdr:col>7</xdr:col>
      <xdr:colOff>260350</xdr:colOff>
      <xdr:row>4</xdr:row>
      <xdr:rowOff>19050</xdr:rowOff>
    </xdr:to>
    <xdr:pic>
      <xdr:nvPicPr>
        <xdr:cNvPr id="16" name="Picture 15">
          <a:extLst>
            <a:ext uri="{FF2B5EF4-FFF2-40B4-BE49-F238E27FC236}">
              <a16:creationId xmlns:a16="http://schemas.microsoft.com/office/drawing/2014/main" id="{5E4ABB20-D808-A7D1-83C7-461591A8A418}"/>
            </a:ext>
          </a:extLst>
        </xdr:cNvPr>
        <xdr:cNvPicPr>
          <a:picLocks noChangeAspect="1"/>
        </xdr:cNvPicPr>
      </xdr:nvPicPr>
      <xdr:blipFill>
        <a:blip xmlns:r="http://schemas.openxmlformats.org/officeDocument/2006/relationships" r:embed="rId3"/>
        <a:stretch>
          <a:fillRect/>
        </a:stretch>
      </xdr:blipFill>
      <xdr:spPr>
        <a:xfrm>
          <a:off x="4235450" y="463550"/>
          <a:ext cx="292100" cy="292100"/>
        </a:xfrm>
        <a:prstGeom prst="rect">
          <a:avLst/>
        </a:prstGeom>
      </xdr:spPr>
    </xdr:pic>
    <xdr:clientData/>
  </xdr:twoCellAnchor>
  <xdr:twoCellAnchor>
    <xdr:from>
      <xdr:col>3</xdr:col>
      <xdr:colOff>279400</xdr:colOff>
      <xdr:row>6</xdr:row>
      <xdr:rowOff>82550</xdr:rowOff>
    </xdr:from>
    <xdr:to>
      <xdr:col>7</xdr:col>
      <xdr:colOff>260350</xdr:colOff>
      <xdr:row>16</xdr:row>
      <xdr:rowOff>25400</xdr:rowOff>
    </xdr:to>
    <xdr:sp macro="" textlink="">
      <xdr:nvSpPr>
        <xdr:cNvPr id="17" name="Rectangle 16">
          <a:extLst>
            <a:ext uri="{FF2B5EF4-FFF2-40B4-BE49-F238E27FC236}">
              <a16:creationId xmlns:a16="http://schemas.microsoft.com/office/drawing/2014/main" id="{F5A3E92C-7DFA-12F3-F8C6-3AA49C8F9A5C}"/>
            </a:ext>
          </a:extLst>
        </xdr:cNvPr>
        <xdr:cNvSpPr/>
      </xdr:nvSpPr>
      <xdr:spPr>
        <a:xfrm>
          <a:off x="2108200" y="1187450"/>
          <a:ext cx="2419350" cy="1784350"/>
        </a:xfrm>
        <a:prstGeom prst="rect">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317500</xdr:colOff>
      <xdr:row>6</xdr:row>
      <xdr:rowOff>0</xdr:rowOff>
    </xdr:from>
    <xdr:to>
      <xdr:col>18</xdr:col>
      <xdr:colOff>596900</xdr:colOff>
      <xdr:row>17</xdr:row>
      <xdr:rowOff>57150</xdr:rowOff>
    </xdr:to>
    <xdr:graphicFrame macro="">
      <xdr:nvGraphicFramePr>
        <xdr:cNvPr id="21" name="Chart 20">
          <a:extLst>
            <a:ext uri="{FF2B5EF4-FFF2-40B4-BE49-F238E27FC236}">
              <a16:creationId xmlns:a16="http://schemas.microsoft.com/office/drawing/2014/main" id="{29BAB5A8-DF36-45C1-B688-86C92E6C775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7</xdr:col>
      <xdr:colOff>476250</xdr:colOff>
      <xdr:row>5</xdr:row>
      <xdr:rowOff>165100</xdr:rowOff>
    </xdr:from>
    <xdr:to>
      <xdr:col>12</xdr:col>
      <xdr:colOff>247650</xdr:colOff>
      <xdr:row>17</xdr:row>
      <xdr:rowOff>82550</xdr:rowOff>
    </xdr:to>
    <xdr:graphicFrame macro="">
      <xdr:nvGraphicFramePr>
        <xdr:cNvPr id="22" name="Chart 21">
          <a:extLst>
            <a:ext uri="{FF2B5EF4-FFF2-40B4-BE49-F238E27FC236}">
              <a16:creationId xmlns:a16="http://schemas.microsoft.com/office/drawing/2014/main" id="{08A5B95E-D040-4DDA-B04C-639954F63F5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xdr:col>
      <xdr:colOff>330200</xdr:colOff>
      <xdr:row>5</xdr:row>
      <xdr:rowOff>177800</xdr:rowOff>
    </xdr:from>
    <xdr:to>
      <xdr:col>7</xdr:col>
      <xdr:colOff>400050</xdr:colOff>
      <xdr:row>17</xdr:row>
      <xdr:rowOff>82550</xdr:rowOff>
    </xdr:to>
    <xdr:graphicFrame macro="">
      <xdr:nvGraphicFramePr>
        <xdr:cNvPr id="23" name="Chart 22">
          <a:extLst>
            <a:ext uri="{FF2B5EF4-FFF2-40B4-BE49-F238E27FC236}">
              <a16:creationId xmlns:a16="http://schemas.microsoft.com/office/drawing/2014/main" id="{07EBE2B2-77C7-4F1B-A46F-ED69AC0E670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xdr:col>
      <xdr:colOff>285751</xdr:colOff>
      <xdr:row>18</xdr:row>
      <xdr:rowOff>12701</xdr:rowOff>
    </xdr:from>
    <xdr:to>
      <xdr:col>7</xdr:col>
      <xdr:colOff>285750</xdr:colOff>
      <xdr:row>28</xdr:row>
      <xdr:rowOff>12700</xdr:rowOff>
    </xdr:to>
    <xdr:graphicFrame macro="">
      <xdr:nvGraphicFramePr>
        <xdr:cNvPr id="24" name="Chart 23">
          <a:extLst>
            <a:ext uri="{FF2B5EF4-FFF2-40B4-BE49-F238E27FC236}">
              <a16:creationId xmlns:a16="http://schemas.microsoft.com/office/drawing/2014/main" id="{65478340-F9A3-46B1-A35A-B2050FE272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7</xdr:col>
      <xdr:colOff>342901</xdr:colOff>
      <xdr:row>18</xdr:row>
      <xdr:rowOff>6350</xdr:rowOff>
    </xdr:from>
    <xdr:to>
      <xdr:col>12</xdr:col>
      <xdr:colOff>342900</xdr:colOff>
      <xdr:row>28</xdr:row>
      <xdr:rowOff>19050</xdr:rowOff>
    </xdr:to>
    <xdr:graphicFrame macro="">
      <xdr:nvGraphicFramePr>
        <xdr:cNvPr id="25" name="Chart 24">
          <a:extLst>
            <a:ext uri="{FF2B5EF4-FFF2-40B4-BE49-F238E27FC236}">
              <a16:creationId xmlns:a16="http://schemas.microsoft.com/office/drawing/2014/main" id="{DC6615FA-ABAF-43AE-AA92-C76B5B0C393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12</xdr:col>
      <xdr:colOff>495300</xdr:colOff>
      <xdr:row>17</xdr:row>
      <xdr:rowOff>88900</xdr:rowOff>
    </xdr:from>
    <xdr:to>
      <xdr:col>19</xdr:col>
      <xdr:colOff>25400</xdr:colOff>
      <xdr:row>28</xdr:row>
      <xdr:rowOff>57150</xdr:rowOff>
    </xdr:to>
    <xdr:graphicFrame macro="">
      <xdr:nvGraphicFramePr>
        <xdr:cNvPr id="26" name="Chart 25">
          <a:extLst>
            <a:ext uri="{FF2B5EF4-FFF2-40B4-BE49-F238E27FC236}">
              <a16:creationId xmlns:a16="http://schemas.microsoft.com/office/drawing/2014/main" id="{692CDC73-B7D9-4571-8C83-6430AD5FE63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0</xdr:col>
      <xdr:colOff>0</xdr:colOff>
      <xdr:row>14</xdr:row>
      <xdr:rowOff>139700</xdr:rowOff>
    </xdr:from>
    <xdr:to>
      <xdr:col>2</xdr:col>
      <xdr:colOff>222250</xdr:colOff>
      <xdr:row>28</xdr:row>
      <xdr:rowOff>19050</xdr:rowOff>
    </xdr:to>
    <mc:AlternateContent xmlns:mc="http://schemas.openxmlformats.org/markup-compatibility/2006" xmlns:a14="http://schemas.microsoft.com/office/drawing/2010/main">
      <mc:Choice Requires="a14">
        <xdr:graphicFrame macro="">
          <xdr:nvGraphicFramePr>
            <xdr:cNvPr id="28" name="City">
              <a:extLst>
                <a:ext uri="{FF2B5EF4-FFF2-40B4-BE49-F238E27FC236}">
                  <a16:creationId xmlns:a16="http://schemas.microsoft.com/office/drawing/2014/main" id="{99242CF0-7859-4670-834B-A7F3B90AF40D}"/>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mlns="">
        <xdr:sp macro="" textlink="">
          <xdr:nvSpPr>
            <xdr:cNvPr id="0" name=""/>
            <xdr:cNvSpPr>
              <a:spLocks noTextEdit="1"/>
            </xdr:cNvSpPr>
          </xdr:nvSpPr>
          <xdr:spPr>
            <a:xfrm>
              <a:off x="0" y="2717800"/>
              <a:ext cx="1187450" cy="24574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285750</xdr:colOff>
      <xdr:row>3</xdr:row>
      <xdr:rowOff>127000</xdr:rowOff>
    </xdr:from>
    <xdr:to>
      <xdr:col>6</xdr:col>
      <xdr:colOff>133350</xdr:colOff>
      <xdr:row>5</xdr:row>
      <xdr:rowOff>107950</xdr:rowOff>
    </xdr:to>
    <xdr:sp macro="" textlink="">
      <xdr:nvSpPr>
        <xdr:cNvPr id="31" name="TextBox 30">
          <a:extLst>
            <a:ext uri="{FF2B5EF4-FFF2-40B4-BE49-F238E27FC236}">
              <a16:creationId xmlns:a16="http://schemas.microsoft.com/office/drawing/2014/main" id="{0D501E0A-D280-CCC7-EF3B-CA7791771E1A}"/>
            </a:ext>
          </a:extLst>
        </xdr:cNvPr>
        <xdr:cNvSpPr txBox="1"/>
      </xdr:nvSpPr>
      <xdr:spPr>
        <a:xfrm>
          <a:off x="2724150" y="679450"/>
          <a:ext cx="1066800" cy="3492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US" sz="1600" b="1" i="0">
              <a:solidFill>
                <a:schemeClr val="tx2"/>
              </a:solidFill>
              <a:effectLst/>
              <a:latin typeface="Times New Roman" panose="02020603050405020304" pitchFamily="18" charset="0"/>
              <a:ea typeface="+mn-ea"/>
              <a:cs typeface="Times New Roman" panose="02020603050405020304" pitchFamily="18" charset="0"/>
            </a:rPr>
            <a:t>$294,670</a:t>
          </a:r>
          <a:r>
            <a:rPr lang="en-US" sz="1600" b="1">
              <a:solidFill>
                <a:schemeClr val="tx2"/>
              </a:solidFill>
              <a:effectLst/>
              <a:latin typeface="Times New Roman" panose="02020603050405020304" pitchFamily="18" charset="0"/>
              <a:ea typeface="+mn-ea"/>
              <a:cs typeface="Times New Roman" panose="02020603050405020304" pitchFamily="18" charset="0"/>
            </a:rPr>
            <a:t> </a:t>
          </a:r>
          <a:endParaRPr lang="en-US" sz="1600" b="1">
            <a:solidFill>
              <a:schemeClr val="tx2"/>
            </a:solidFill>
            <a:effectLst/>
            <a:latin typeface="Times New Roman" panose="02020603050405020304" pitchFamily="18" charset="0"/>
            <a:cs typeface="Times New Roman" panose="02020603050405020304" pitchFamily="18" charset="0"/>
          </a:endParaRPr>
        </a:p>
        <a:p>
          <a:endParaRPr lang="en-US" sz="1100"/>
        </a:p>
      </xdr:txBody>
    </xdr:sp>
    <xdr:clientData/>
  </xdr:twoCellAnchor>
  <xdr:twoCellAnchor>
    <xdr:from>
      <xdr:col>14</xdr:col>
      <xdr:colOff>400050</xdr:colOff>
      <xdr:row>0</xdr:row>
      <xdr:rowOff>0</xdr:rowOff>
    </xdr:from>
    <xdr:to>
      <xdr:col>18</xdr:col>
      <xdr:colOff>565150</xdr:colOff>
      <xdr:row>5</xdr:row>
      <xdr:rowOff>114300</xdr:rowOff>
    </xdr:to>
    <xdr:sp macro="" textlink="">
      <xdr:nvSpPr>
        <xdr:cNvPr id="33" name="Rectangle 32">
          <a:extLst>
            <a:ext uri="{FF2B5EF4-FFF2-40B4-BE49-F238E27FC236}">
              <a16:creationId xmlns:a16="http://schemas.microsoft.com/office/drawing/2014/main" id="{5CBA4621-8E0B-6F18-CFA2-CA51BF7A29A2}"/>
            </a:ext>
          </a:extLst>
        </xdr:cNvPr>
        <xdr:cNvSpPr/>
      </xdr:nvSpPr>
      <xdr:spPr>
        <a:xfrm>
          <a:off x="8934450" y="0"/>
          <a:ext cx="2603500" cy="1035050"/>
        </a:xfrm>
        <a:prstGeom prst="rect">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203200</xdr:colOff>
      <xdr:row>3</xdr:row>
      <xdr:rowOff>152400</xdr:rowOff>
    </xdr:from>
    <xdr:to>
      <xdr:col>9</xdr:col>
      <xdr:colOff>196850</xdr:colOff>
      <xdr:row>5</xdr:row>
      <xdr:rowOff>25400</xdr:rowOff>
    </xdr:to>
    <xdr:sp macro="" textlink="">
      <xdr:nvSpPr>
        <xdr:cNvPr id="32" name="TextBox 31">
          <a:extLst>
            <a:ext uri="{FF2B5EF4-FFF2-40B4-BE49-F238E27FC236}">
              <a16:creationId xmlns:a16="http://schemas.microsoft.com/office/drawing/2014/main" id="{FFDCE46A-C27C-4DE6-B52B-7A0984ECA354}"/>
            </a:ext>
          </a:extLst>
        </xdr:cNvPr>
        <xdr:cNvSpPr txBox="1"/>
      </xdr:nvSpPr>
      <xdr:spPr>
        <a:xfrm>
          <a:off x="4470400" y="704850"/>
          <a:ext cx="1212850" cy="2413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lang="en-US" sz="1600" b="1" i="0">
              <a:solidFill>
                <a:schemeClr val="tx2"/>
              </a:solidFill>
              <a:effectLst/>
              <a:latin typeface="Times New Roman" panose="02020603050405020304" pitchFamily="18" charset="0"/>
              <a:ea typeface="+mn-ea"/>
              <a:cs typeface="Times New Roman" panose="02020603050405020304" pitchFamily="18" charset="0"/>
            </a:rPr>
            <a:t>$979</a:t>
          </a:r>
          <a:r>
            <a:rPr lang="en-US" sz="1600" b="1">
              <a:solidFill>
                <a:schemeClr val="tx2"/>
              </a:solidFill>
              <a:effectLst/>
              <a:latin typeface="Times New Roman" panose="02020603050405020304" pitchFamily="18" charset="0"/>
              <a:ea typeface="+mn-ea"/>
              <a:cs typeface="Times New Roman" panose="02020603050405020304" pitchFamily="18" charset="0"/>
            </a:rPr>
            <a:t> </a:t>
          </a:r>
          <a:endParaRPr lang="en-US" sz="1600" b="1">
            <a:solidFill>
              <a:schemeClr val="tx2"/>
            </a:solidFill>
            <a:effectLst/>
            <a:latin typeface="Times New Roman" panose="02020603050405020304" pitchFamily="18" charset="0"/>
            <a:cs typeface="Times New Roman" panose="02020603050405020304" pitchFamily="18" charset="0"/>
          </a:endParaRPr>
        </a:p>
        <a:p>
          <a:endParaRPr lang="en-US" sz="1100"/>
        </a:p>
      </xdr:txBody>
    </xdr:sp>
    <xdr:clientData/>
  </xdr:twoCellAnchor>
  <xdr:twoCellAnchor editAs="oneCell">
    <xdr:from>
      <xdr:col>0</xdr:col>
      <xdr:colOff>12700</xdr:colOff>
      <xdr:row>2</xdr:row>
      <xdr:rowOff>133350</xdr:rowOff>
    </xdr:from>
    <xdr:to>
      <xdr:col>2</xdr:col>
      <xdr:colOff>247650</xdr:colOff>
      <xdr:row>14</xdr:row>
      <xdr:rowOff>82550</xdr:rowOff>
    </xdr:to>
    <mc:AlternateContent xmlns:mc="http://schemas.openxmlformats.org/markup-compatibility/2006">
      <mc:Choice xmlns:a14="http://schemas.microsoft.com/office/drawing/2010/main" Requires="a14">
        <xdr:graphicFrame macro="">
          <xdr:nvGraphicFramePr>
            <xdr:cNvPr id="27" name="Product_Name">
              <a:extLst>
                <a:ext uri="{FF2B5EF4-FFF2-40B4-BE49-F238E27FC236}">
                  <a16:creationId xmlns:a16="http://schemas.microsoft.com/office/drawing/2014/main" id="{E2A7DAE7-2313-4375-870A-C7881347B0A2}"/>
                </a:ext>
              </a:extLst>
            </xdr:cNvPr>
            <xdr:cNvGraphicFramePr/>
          </xdr:nvGraphicFramePr>
          <xdr:xfrm>
            <a:off x="0" y="0"/>
            <a:ext cx="0" cy="0"/>
          </xdr:xfrm>
          <a:graphic>
            <a:graphicData uri="http://schemas.microsoft.com/office/drawing/2010/slicer">
              <sle:slicer xmlns:sle="http://schemas.microsoft.com/office/drawing/2010/slicer" name="Product_Name"/>
            </a:graphicData>
          </a:graphic>
        </xdr:graphicFrame>
      </mc:Choice>
      <mc:Fallback>
        <xdr:sp macro="" textlink="">
          <xdr:nvSpPr>
            <xdr:cNvPr id="0" name=""/>
            <xdr:cNvSpPr>
              <a:spLocks noTextEdit="1"/>
            </xdr:cNvSpPr>
          </xdr:nvSpPr>
          <xdr:spPr>
            <a:xfrm>
              <a:off x="12700" y="501650"/>
              <a:ext cx="1454150" cy="2159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14</xdr:col>
      <xdr:colOff>374650</xdr:colOff>
      <xdr:row>0</xdr:row>
      <xdr:rowOff>0</xdr:rowOff>
    </xdr:from>
    <xdr:to>
      <xdr:col>20</xdr:col>
      <xdr:colOff>127000</xdr:colOff>
      <xdr:row>5</xdr:row>
      <xdr:rowOff>107950</xdr:rowOff>
    </xdr:to>
    <xdr:sp macro="" textlink="">
      <xdr:nvSpPr>
        <xdr:cNvPr id="10" name="TextBox 9">
          <a:extLst>
            <a:ext uri="{FF2B5EF4-FFF2-40B4-BE49-F238E27FC236}">
              <a16:creationId xmlns:a16="http://schemas.microsoft.com/office/drawing/2014/main" id="{4BD56B14-04CA-0D2C-FAE3-143E164C8AFA}"/>
            </a:ext>
          </a:extLst>
        </xdr:cNvPr>
        <xdr:cNvSpPr txBox="1"/>
      </xdr:nvSpPr>
      <xdr:spPr>
        <a:xfrm>
          <a:off x="8909050" y="0"/>
          <a:ext cx="3409950" cy="10287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t>Bes Product :                                        </a:t>
          </a:r>
          <a:r>
            <a:rPr lang="en-US" sz="1100" b="1">
              <a:solidFill>
                <a:schemeClr val="accent2"/>
              </a:solidFill>
            </a:rPr>
            <a:t>Laptop</a:t>
          </a:r>
        </a:p>
        <a:p>
          <a:r>
            <a:rPr lang="en-US" sz="1100" b="1">
              <a:solidFill>
                <a:schemeClr val="tx1"/>
              </a:solidFill>
            </a:rPr>
            <a:t>Best City </a:t>
          </a:r>
          <a:r>
            <a:rPr lang="en-US" sz="1100" b="1">
              <a:solidFill>
                <a:schemeClr val="tx1"/>
              </a:solidFill>
              <a:latin typeface="+mn-lt"/>
              <a:ea typeface="+mn-ea"/>
              <a:cs typeface="+mn-cs"/>
            </a:rPr>
            <a:t>:                                               </a:t>
          </a:r>
          <a:r>
            <a:rPr lang="en-US" sz="1100" b="1">
              <a:solidFill>
                <a:schemeClr val="accent2"/>
              </a:solidFill>
              <a:latin typeface="+mn-lt"/>
              <a:ea typeface="+mn-ea"/>
              <a:cs typeface="+mn-cs"/>
            </a:rPr>
            <a:t>Nairopi</a:t>
          </a:r>
        </a:p>
        <a:p>
          <a:r>
            <a:rPr lang="en-US" sz="1100" b="1">
              <a:solidFill>
                <a:schemeClr val="tx1"/>
              </a:solidFill>
            </a:rPr>
            <a:t>Best Country</a:t>
          </a:r>
          <a:r>
            <a:rPr lang="en-US" sz="1100" b="1">
              <a:solidFill>
                <a:schemeClr val="tx1"/>
              </a:solidFill>
              <a:latin typeface="+mn-lt"/>
              <a:ea typeface="+mn-ea"/>
              <a:cs typeface="+mn-cs"/>
            </a:rPr>
            <a:t>:                                       </a:t>
          </a:r>
          <a:r>
            <a:rPr lang="en-US" sz="1100" b="1">
              <a:solidFill>
                <a:schemeClr val="accent2"/>
              </a:solidFill>
              <a:latin typeface="+mn-lt"/>
              <a:ea typeface="+mn-ea"/>
              <a:cs typeface="+mn-cs"/>
            </a:rPr>
            <a:t>Somalia</a:t>
          </a:r>
        </a:p>
        <a:p>
          <a:r>
            <a:rPr lang="en-US" sz="1100" b="1">
              <a:solidFill>
                <a:schemeClr val="tx1"/>
              </a:solidFill>
            </a:rPr>
            <a:t>Best</a:t>
          </a:r>
          <a:r>
            <a:rPr lang="en-US" sz="1100" b="1" baseline="0">
              <a:solidFill>
                <a:schemeClr val="tx1"/>
              </a:solidFill>
            </a:rPr>
            <a:t> salesperson</a:t>
          </a:r>
          <a:r>
            <a:rPr lang="en-US" sz="1100" b="1">
              <a:solidFill>
                <a:schemeClr val="tx1"/>
              </a:solidFill>
              <a:latin typeface="+mn-lt"/>
              <a:ea typeface="+mn-ea"/>
              <a:cs typeface="+mn-cs"/>
            </a:rPr>
            <a:t>:                              </a:t>
          </a:r>
          <a:r>
            <a:rPr lang="en-US" sz="1100" b="1">
              <a:solidFill>
                <a:schemeClr val="accent2"/>
              </a:solidFill>
              <a:latin typeface="+mn-lt"/>
              <a:ea typeface="+mn-ea"/>
              <a:cs typeface="+mn-cs"/>
            </a:rPr>
            <a:t>Ahmed</a:t>
          </a:r>
        </a:p>
      </xdr:txBody>
    </xdr:sp>
    <xdr:clientData/>
  </xdr:twoCellAnchor>
  <xdr:twoCellAnchor editAs="oneCell">
    <xdr:from>
      <xdr:col>2</xdr:col>
      <xdr:colOff>311150</xdr:colOff>
      <xdr:row>1</xdr:row>
      <xdr:rowOff>177800</xdr:rowOff>
    </xdr:from>
    <xdr:to>
      <xdr:col>3</xdr:col>
      <xdr:colOff>158750</xdr:colOff>
      <xdr:row>4</xdr:row>
      <xdr:rowOff>82550</xdr:rowOff>
    </xdr:to>
    <xdr:pic>
      <xdr:nvPicPr>
        <xdr:cNvPr id="19" name="Picture 18">
          <a:hlinkClick xmlns:r="http://schemas.openxmlformats.org/officeDocument/2006/relationships" r:id="rId10"/>
          <a:extLst>
            <a:ext uri="{FF2B5EF4-FFF2-40B4-BE49-F238E27FC236}">
              <a16:creationId xmlns:a16="http://schemas.microsoft.com/office/drawing/2014/main" id="{8D28C847-CFB2-43A2-B806-1327A7CFB6B1}"/>
            </a:ext>
          </a:extLst>
        </xdr:cNvPr>
        <xdr:cNvPicPr>
          <a:picLocks noChangeAspect="1"/>
        </xdr:cNvPicPr>
      </xdr:nvPicPr>
      <xdr:blipFill>
        <a:blip xmlns:r="http://schemas.openxmlformats.org/officeDocument/2006/relationships" r:embed="rId3">
          <a:duotone>
            <a:schemeClr val="accent4">
              <a:shade val="45000"/>
              <a:satMod val="135000"/>
            </a:schemeClr>
            <a:prstClr val="white"/>
          </a:duotone>
        </a:blip>
        <a:stretch>
          <a:fillRect/>
        </a:stretch>
      </xdr:blipFill>
      <xdr:spPr>
        <a:xfrm>
          <a:off x="1530350" y="361950"/>
          <a:ext cx="457200" cy="457200"/>
        </a:xfrm>
        <a:prstGeom prst="rect">
          <a:avLst/>
        </a:prstGeom>
      </xdr:spPr>
    </xdr:pic>
    <xdr:clientData/>
  </xdr:twoCellAnchor>
  <xdr:twoCellAnchor editAs="oneCell">
    <xdr:from>
      <xdr:col>2</xdr:col>
      <xdr:colOff>292100</xdr:colOff>
      <xdr:row>3</xdr:row>
      <xdr:rowOff>165100</xdr:rowOff>
    </xdr:from>
    <xdr:to>
      <xdr:col>3</xdr:col>
      <xdr:colOff>203200</xdr:colOff>
      <xdr:row>6</xdr:row>
      <xdr:rowOff>6350</xdr:rowOff>
    </xdr:to>
    <xdr:pic>
      <xdr:nvPicPr>
        <xdr:cNvPr id="20" name="Picture 19">
          <a:hlinkClick xmlns:r="http://schemas.openxmlformats.org/officeDocument/2006/relationships" r:id="rId11"/>
          <a:extLst>
            <a:ext uri="{FF2B5EF4-FFF2-40B4-BE49-F238E27FC236}">
              <a16:creationId xmlns:a16="http://schemas.microsoft.com/office/drawing/2014/main" id="{8CD1378E-47AE-A1E1-859A-23C8211BEA87}"/>
            </a:ext>
          </a:extLst>
        </xdr:cNvPr>
        <xdr:cNvPicPr>
          <a:picLocks noChangeAspect="1"/>
        </xdr:cNvPicPr>
      </xdr:nvPicPr>
      <xdr:blipFill>
        <a:blip xmlns:r="http://schemas.openxmlformats.org/officeDocument/2006/relationships" r:embed="rId12"/>
        <a:stretch>
          <a:fillRect/>
        </a:stretch>
      </xdr:blipFill>
      <xdr:spPr>
        <a:xfrm>
          <a:off x="1511300" y="717550"/>
          <a:ext cx="520700" cy="393700"/>
        </a:xfrm>
        <a:prstGeom prst="rect">
          <a:avLst/>
        </a:prstGeom>
      </xdr:spPr>
    </xdr:pic>
    <xdr:clientData/>
  </xdr:twoCellAnchor>
  <xdr:twoCellAnchor editAs="oneCell">
    <xdr:from>
      <xdr:col>19</xdr:col>
      <xdr:colOff>361950</xdr:colOff>
      <xdr:row>0</xdr:row>
      <xdr:rowOff>133350</xdr:rowOff>
    </xdr:from>
    <xdr:to>
      <xdr:col>23</xdr:col>
      <xdr:colOff>571500</xdr:colOff>
      <xdr:row>28</xdr:row>
      <xdr:rowOff>76200</xdr:rowOff>
    </xdr:to>
    <mc:AlternateContent xmlns:mc="http://schemas.openxmlformats.org/markup-compatibility/2006">
      <mc:Choice xmlns:a14="http://schemas.microsoft.com/office/drawing/2010/main" Requires="a14">
        <xdr:graphicFrame macro="">
          <xdr:nvGraphicFramePr>
            <xdr:cNvPr id="30" name="Salesperson">
              <a:extLst>
                <a:ext uri="{FF2B5EF4-FFF2-40B4-BE49-F238E27FC236}">
                  <a16:creationId xmlns:a16="http://schemas.microsoft.com/office/drawing/2014/main" id="{B14F7F06-5677-4DD8-B819-17A34A884A0C}"/>
                </a:ext>
              </a:extLst>
            </xdr:cNvPr>
            <xdr:cNvGraphicFramePr/>
          </xdr:nvGraphicFramePr>
          <xdr:xfrm>
            <a:off x="0" y="0"/>
            <a:ext cx="0" cy="0"/>
          </xdr:xfrm>
          <a:graphic>
            <a:graphicData uri="http://schemas.microsoft.com/office/drawing/2010/slicer">
              <sle:slicer xmlns:sle="http://schemas.microsoft.com/office/drawing/2010/slicer" name="Salesperson"/>
            </a:graphicData>
          </a:graphic>
        </xdr:graphicFrame>
      </mc:Choice>
      <mc:Fallback>
        <xdr:sp macro="" textlink="">
          <xdr:nvSpPr>
            <xdr:cNvPr id="0" name=""/>
            <xdr:cNvSpPr>
              <a:spLocks noTextEdit="1"/>
            </xdr:cNvSpPr>
          </xdr:nvSpPr>
          <xdr:spPr>
            <a:xfrm>
              <a:off x="11944350" y="133350"/>
              <a:ext cx="2647950" cy="50990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95250</xdr:colOff>
      <xdr:row>2</xdr:row>
      <xdr:rowOff>69850</xdr:rowOff>
    </xdr:from>
    <xdr:to>
      <xdr:col>14</xdr:col>
      <xdr:colOff>228600</xdr:colOff>
      <xdr:row>5</xdr:row>
      <xdr:rowOff>133350</xdr:rowOff>
    </xdr:to>
    <mc:AlternateContent xmlns:mc="http://schemas.openxmlformats.org/markup-compatibility/2006">
      <mc:Choice xmlns:a14="http://schemas.microsoft.com/office/drawing/2010/main" Requires="a14">
        <xdr:graphicFrame macro="">
          <xdr:nvGraphicFramePr>
            <xdr:cNvPr id="34" name="Category">
              <a:extLst>
                <a:ext uri="{FF2B5EF4-FFF2-40B4-BE49-F238E27FC236}">
                  <a16:creationId xmlns:a16="http://schemas.microsoft.com/office/drawing/2014/main" id="{4FBFFAFB-2FB4-4EB3-BB79-78C51990B0FA}"/>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6191250" y="438150"/>
              <a:ext cx="2571750" cy="6159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editAs="oneCell">
    <xdr:from>
      <xdr:col>13</xdr:col>
      <xdr:colOff>38100</xdr:colOff>
      <xdr:row>0</xdr:row>
      <xdr:rowOff>0</xdr:rowOff>
    </xdr:from>
    <xdr:to>
      <xdr:col>13</xdr:col>
      <xdr:colOff>546100</xdr:colOff>
      <xdr:row>2</xdr:row>
      <xdr:rowOff>139700</xdr:rowOff>
    </xdr:to>
    <xdr:pic>
      <xdr:nvPicPr>
        <xdr:cNvPr id="3" name="Graphic 2" descr="Bank with solid fill">
          <a:hlinkClick xmlns:r="http://schemas.openxmlformats.org/officeDocument/2006/relationships" r:id="rId1"/>
          <a:extLst>
            <a:ext uri="{FF2B5EF4-FFF2-40B4-BE49-F238E27FC236}">
              <a16:creationId xmlns:a16="http://schemas.microsoft.com/office/drawing/2014/main" id="{B9D5C0EB-A1A6-A611-B587-9CD44D34A094}"/>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11112500" y="0"/>
          <a:ext cx="508000" cy="508000"/>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tosh" refreshedDate="46299.879231828701" createdVersion="8" refreshedVersion="8" minRefreshableVersion="3" recordCount="100" xr:uid="{8A38C394-069E-4622-A6F0-E2A589CB72D1}">
  <cacheSource type="worksheet">
    <worksheetSource name="Table1"/>
  </cacheSource>
  <cacheFields count="13">
    <cacheField name="Order_ID" numFmtId="0">
      <sharedItems/>
    </cacheField>
    <cacheField name="Order_Date" numFmtId="15">
      <sharedItems containsSemiMixedTypes="0" containsNonDate="0" containsDate="1" containsString="0" minDate="2026-01-05T00:00:00" maxDate="2027-01-01T00:00:00"/>
    </cacheField>
    <cacheField name="Year" numFmtId="0">
      <sharedItems containsSemiMixedTypes="0" containsString="0" containsNumber="1" containsInteger="1" minValue="2026" maxValue="2026"/>
    </cacheField>
    <cacheField name="Month" numFmtId="0">
      <sharedItems count="12">
        <s v="January"/>
        <s v="February"/>
        <s v="March"/>
        <s v="April"/>
        <s v="May"/>
        <s v="June"/>
        <s v="July"/>
        <s v="August"/>
        <s v="September"/>
        <s v="October"/>
        <s v="November"/>
        <s v="December"/>
      </sharedItems>
    </cacheField>
    <cacheField name="Country" numFmtId="0">
      <sharedItems count="4">
        <s v="Somalia"/>
        <s v="Ethiopia"/>
        <s v="Kenya"/>
        <s v="Djibouti"/>
      </sharedItems>
    </cacheField>
    <cacheField name="City" numFmtId="0">
      <sharedItems count="9">
        <s v="Mogadishu"/>
        <s v="Kismayo"/>
        <s v="Garowe"/>
        <s v="Addis Ababa"/>
        <s v="Nairobi"/>
        <s v="Djibouti City"/>
        <s v="Baidoa"/>
        <s v="Galkayo"/>
        <s v="Hargeisa"/>
      </sharedItems>
    </cacheField>
    <cacheField name="Salesperson" numFmtId="0">
      <sharedItems count="15">
        <s v="Ahmed Ali"/>
        <s v="Mohamed Abdi"/>
        <s v="Asha Yusuf"/>
        <s v="Daniel Bekele"/>
        <s v="John Kamau"/>
        <s v="Omar Hassan"/>
        <s v="Hassan Omar"/>
        <s v="Hana Tesfaye"/>
        <s v="Grace Wanjiku"/>
        <s v="Fatouma Mohamed"/>
        <s v="Ismail Warsama"/>
        <s v="Mariam Ali"/>
        <s v="Abebe Tadesse"/>
        <s v="Hassan Noor"/>
        <s v="Marta Alemu"/>
      </sharedItems>
    </cacheField>
    <cacheField name="Product_Name" numFmtId="0">
      <sharedItems count="7">
        <s v="Laptop"/>
        <s v="Smartphone"/>
        <s v="Printer"/>
        <s v="Monitor"/>
        <s v="Keyboard"/>
        <s v="Desktop Computer"/>
        <s v="Mouse"/>
      </sharedItems>
    </cacheField>
    <cacheField name="Category" numFmtId="0">
      <sharedItems count="3">
        <s v="Electronics"/>
        <s v="Office"/>
        <s v="Accessories"/>
      </sharedItems>
    </cacheField>
    <cacheField name="Quantity" numFmtId="0">
      <sharedItems containsSemiMixedTypes="0" containsString="0" containsNumber="1" containsInteger="1" minValue="3" maxValue="32"/>
    </cacheField>
    <cacheField name="Unit_Price" numFmtId="164">
      <sharedItems containsSemiMixedTypes="0" containsString="0" containsNumber="1" containsInteger="1" minValue="25" maxValue="750"/>
    </cacheField>
    <cacheField name="Cost_Price" numFmtId="0">
      <sharedItems containsSemiMixedTypes="0" containsString="0" containsNumber="1" containsInteger="1" minValue="15" maxValue="600"/>
    </cacheField>
    <cacheField name="Total Sales" numFmtId="165">
      <sharedItems containsSemiMixedTypes="0" containsString="0" containsNumber="1" containsInteger="1" minValue="375" maxValue="7500"/>
    </cacheField>
  </cacheFields>
  <extLst>
    <ext xmlns:x14="http://schemas.microsoft.com/office/spreadsheetml/2009/9/main" uri="{725AE2AE-9491-48be-B2B4-4EB974FC3084}">
      <x14:pivotCacheDefinition pivotCacheId="175145067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
  <r>
    <s v="ORD001"/>
    <d v="2026-01-05T00:00:00"/>
    <n v="2026"/>
    <x v="0"/>
    <x v="0"/>
    <x v="0"/>
    <x v="0"/>
    <x v="0"/>
    <x v="0"/>
    <n v="5"/>
    <n v="750"/>
    <n v="600"/>
    <n v="3750"/>
  </r>
  <r>
    <s v="ORD002"/>
    <d v="2026-01-08T00:00:00"/>
    <n v="2026"/>
    <x v="0"/>
    <x v="0"/>
    <x v="1"/>
    <x v="1"/>
    <x v="1"/>
    <x v="0"/>
    <n v="8"/>
    <n v="450"/>
    <n v="350"/>
    <n v="3600"/>
  </r>
  <r>
    <s v="ORD003"/>
    <d v="2026-01-12T00:00:00"/>
    <n v="2026"/>
    <x v="0"/>
    <x v="0"/>
    <x v="2"/>
    <x v="2"/>
    <x v="2"/>
    <x v="1"/>
    <n v="3"/>
    <n v="280"/>
    <n v="210"/>
    <n v="840"/>
  </r>
  <r>
    <s v="ORD004"/>
    <d v="2026-01-16T00:00:00"/>
    <n v="2026"/>
    <x v="0"/>
    <x v="1"/>
    <x v="3"/>
    <x v="3"/>
    <x v="0"/>
    <x v="0"/>
    <n v="6"/>
    <n v="750"/>
    <n v="600"/>
    <n v="4500"/>
  </r>
  <r>
    <s v="ORD005"/>
    <d v="2026-01-20T00:00:00"/>
    <n v="2026"/>
    <x v="0"/>
    <x v="2"/>
    <x v="4"/>
    <x v="4"/>
    <x v="3"/>
    <x v="0"/>
    <n v="7"/>
    <n v="300"/>
    <n v="220"/>
    <n v="2100"/>
  </r>
  <r>
    <s v="ORD006"/>
    <d v="2026-01-24T00:00:00"/>
    <n v="2026"/>
    <x v="0"/>
    <x v="3"/>
    <x v="5"/>
    <x v="5"/>
    <x v="4"/>
    <x v="2"/>
    <n v="12"/>
    <n v="45"/>
    <n v="30"/>
    <n v="540"/>
  </r>
  <r>
    <s v="ORD007"/>
    <d v="2026-01-28T00:00:00"/>
    <n v="2026"/>
    <x v="0"/>
    <x v="0"/>
    <x v="6"/>
    <x v="6"/>
    <x v="5"/>
    <x v="0"/>
    <n v="4"/>
    <n v="650"/>
    <n v="500"/>
    <n v="2600"/>
  </r>
  <r>
    <s v="ORD008"/>
    <d v="2026-02-03T00:00:00"/>
    <n v="2026"/>
    <x v="1"/>
    <x v="0"/>
    <x v="0"/>
    <x v="0"/>
    <x v="6"/>
    <x v="2"/>
    <n v="15"/>
    <n v="25"/>
    <n v="15"/>
    <n v="375"/>
  </r>
  <r>
    <s v="ORD009"/>
    <d v="2026-02-07T00:00:00"/>
    <n v="2026"/>
    <x v="1"/>
    <x v="0"/>
    <x v="7"/>
    <x v="1"/>
    <x v="0"/>
    <x v="0"/>
    <n v="4"/>
    <n v="750"/>
    <n v="600"/>
    <n v="3000"/>
  </r>
  <r>
    <s v="ORD010"/>
    <d v="2026-02-11T00:00:00"/>
    <n v="2026"/>
    <x v="1"/>
    <x v="1"/>
    <x v="3"/>
    <x v="7"/>
    <x v="2"/>
    <x v="1"/>
    <n v="5"/>
    <n v="280"/>
    <n v="210"/>
    <n v="1400"/>
  </r>
  <r>
    <s v="ORD011"/>
    <d v="2026-02-15T00:00:00"/>
    <n v="2026"/>
    <x v="1"/>
    <x v="2"/>
    <x v="4"/>
    <x v="8"/>
    <x v="1"/>
    <x v="0"/>
    <n v="9"/>
    <n v="450"/>
    <n v="350"/>
    <n v="4050"/>
  </r>
  <r>
    <s v="ORD012"/>
    <d v="2026-02-19T00:00:00"/>
    <n v="2026"/>
    <x v="1"/>
    <x v="3"/>
    <x v="5"/>
    <x v="9"/>
    <x v="3"/>
    <x v="0"/>
    <n v="6"/>
    <n v="300"/>
    <n v="220"/>
    <n v="1800"/>
  </r>
  <r>
    <s v="ORD013"/>
    <d v="2026-02-23T00:00:00"/>
    <n v="2026"/>
    <x v="1"/>
    <x v="0"/>
    <x v="8"/>
    <x v="0"/>
    <x v="4"/>
    <x v="2"/>
    <n v="10"/>
    <n v="45"/>
    <n v="30"/>
    <n v="450"/>
  </r>
  <r>
    <s v="ORD014"/>
    <d v="2026-02-27T00:00:00"/>
    <n v="2026"/>
    <x v="1"/>
    <x v="0"/>
    <x v="0"/>
    <x v="2"/>
    <x v="0"/>
    <x v="0"/>
    <n v="7"/>
    <n v="750"/>
    <n v="600"/>
    <n v="5250"/>
  </r>
  <r>
    <s v="ORD015"/>
    <d v="2026-03-04T00:00:00"/>
    <n v="2026"/>
    <x v="2"/>
    <x v="0"/>
    <x v="1"/>
    <x v="6"/>
    <x v="2"/>
    <x v="1"/>
    <n v="4"/>
    <n v="280"/>
    <n v="210"/>
    <n v="1120"/>
  </r>
  <r>
    <s v="ORD016"/>
    <d v="2026-03-08T00:00:00"/>
    <n v="2026"/>
    <x v="2"/>
    <x v="1"/>
    <x v="3"/>
    <x v="3"/>
    <x v="5"/>
    <x v="0"/>
    <n v="5"/>
    <n v="650"/>
    <n v="500"/>
    <n v="3250"/>
  </r>
  <r>
    <s v="ORD017"/>
    <d v="2026-03-12T00:00:00"/>
    <n v="2026"/>
    <x v="2"/>
    <x v="2"/>
    <x v="4"/>
    <x v="4"/>
    <x v="0"/>
    <x v="0"/>
    <n v="8"/>
    <n v="750"/>
    <n v="600"/>
    <n v="6000"/>
  </r>
  <r>
    <s v="ORD018"/>
    <d v="2026-03-16T00:00:00"/>
    <n v="2026"/>
    <x v="2"/>
    <x v="3"/>
    <x v="5"/>
    <x v="10"/>
    <x v="1"/>
    <x v="0"/>
    <n v="7"/>
    <n v="450"/>
    <n v="350"/>
    <n v="3150"/>
  </r>
  <r>
    <s v="ORD019"/>
    <d v="2026-03-20T00:00:00"/>
    <n v="2026"/>
    <x v="2"/>
    <x v="0"/>
    <x v="2"/>
    <x v="1"/>
    <x v="6"/>
    <x v="2"/>
    <n v="20"/>
    <n v="25"/>
    <n v="15"/>
    <n v="500"/>
  </r>
  <r>
    <s v="ORD020"/>
    <d v="2026-03-24T00:00:00"/>
    <n v="2026"/>
    <x v="2"/>
    <x v="0"/>
    <x v="6"/>
    <x v="2"/>
    <x v="3"/>
    <x v="0"/>
    <n v="5"/>
    <n v="300"/>
    <n v="220"/>
    <n v="1500"/>
  </r>
  <r>
    <s v="ORD021"/>
    <d v="2026-03-28T00:00:00"/>
    <n v="2026"/>
    <x v="2"/>
    <x v="0"/>
    <x v="0"/>
    <x v="0"/>
    <x v="2"/>
    <x v="1"/>
    <n v="6"/>
    <n v="280"/>
    <n v="210"/>
    <n v="1680"/>
  </r>
  <r>
    <s v="ORD022"/>
    <d v="2026-04-03T00:00:00"/>
    <n v="2026"/>
    <x v="3"/>
    <x v="1"/>
    <x v="3"/>
    <x v="7"/>
    <x v="4"/>
    <x v="2"/>
    <n v="14"/>
    <n v="45"/>
    <n v="30"/>
    <n v="630"/>
  </r>
  <r>
    <s v="ORD023"/>
    <d v="2026-04-07T00:00:00"/>
    <n v="2026"/>
    <x v="3"/>
    <x v="2"/>
    <x v="4"/>
    <x v="8"/>
    <x v="0"/>
    <x v="0"/>
    <n v="5"/>
    <n v="750"/>
    <n v="600"/>
    <n v="3750"/>
  </r>
  <r>
    <s v="ORD024"/>
    <d v="2026-04-11T00:00:00"/>
    <n v="2026"/>
    <x v="3"/>
    <x v="3"/>
    <x v="5"/>
    <x v="11"/>
    <x v="5"/>
    <x v="0"/>
    <n v="3"/>
    <n v="650"/>
    <n v="500"/>
    <n v="1950"/>
  </r>
  <r>
    <s v="ORD025"/>
    <d v="2026-04-15T00:00:00"/>
    <n v="2026"/>
    <x v="3"/>
    <x v="0"/>
    <x v="0"/>
    <x v="1"/>
    <x v="1"/>
    <x v="0"/>
    <n v="11"/>
    <n v="450"/>
    <n v="350"/>
    <n v="4950"/>
  </r>
  <r>
    <s v="ORD026"/>
    <d v="2026-04-19T00:00:00"/>
    <n v="2026"/>
    <x v="3"/>
    <x v="0"/>
    <x v="1"/>
    <x v="6"/>
    <x v="3"/>
    <x v="0"/>
    <n v="7"/>
    <n v="300"/>
    <n v="220"/>
    <n v="2100"/>
  </r>
  <r>
    <s v="ORD027"/>
    <d v="2026-04-23T00:00:00"/>
    <n v="2026"/>
    <x v="3"/>
    <x v="0"/>
    <x v="2"/>
    <x v="2"/>
    <x v="0"/>
    <x v="0"/>
    <n v="6"/>
    <n v="750"/>
    <n v="600"/>
    <n v="4500"/>
  </r>
  <r>
    <s v="ORD028"/>
    <d v="2026-04-27T00:00:00"/>
    <n v="2026"/>
    <x v="3"/>
    <x v="0"/>
    <x v="7"/>
    <x v="0"/>
    <x v="2"/>
    <x v="1"/>
    <n v="4"/>
    <n v="280"/>
    <n v="210"/>
    <n v="1120"/>
  </r>
  <r>
    <s v="ORD029"/>
    <d v="2026-05-02T00:00:00"/>
    <n v="2026"/>
    <x v="4"/>
    <x v="1"/>
    <x v="3"/>
    <x v="12"/>
    <x v="6"/>
    <x v="2"/>
    <n v="18"/>
    <n v="25"/>
    <n v="15"/>
    <n v="450"/>
  </r>
  <r>
    <s v="ORD030"/>
    <d v="2026-05-06T00:00:00"/>
    <n v="2026"/>
    <x v="4"/>
    <x v="2"/>
    <x v="4"/>
    <x v="13"/>
    <x v="4"/>
    <x v="2"/>
    <n v="16"/>
    <n v="45"/>
    <n v="30"/>
    <n v="720"/>
  </r>
  <r>
    <s v="ORD031"/>
    <d v="2026-05-10T00:00:00"/>
    <n v="2026"/>
    <x v="4"/>
    <x v="3"/>
    <x v="5"/>
    <x v="5"/>
    <x v="0"/>
    <x v="0"/>
    <n v="4"/>
    <n v="750"/>
    <n v="600"/>
    <n v="3000"/>
  </r>
  <r>
    <s v="ORD032"/>
    <d v="2026-05-14T00:00:00"/>
    <n v="2026"/>
    <x v="4"/>
    <x v="0"/>
    <x v="0"/>
    <x v="0"/>
    <x v="5"/>
    <x v="0"/>
    <n v="5"/>
    <n v="650"/>
    <n v="500"/>
    <n v="3250"/>
  </r>
  <r>
    <s v="ORD033"/>
    <d v="2026-05-18T00:00:00"/>
    <n v="2026"/>
    <x v="4"/>
    <x v="0"/>
    <x v="6"/>
    <x v="1"/>
    <x v="1"/>
    <x v="0"/>
    <n v="10"/>
    <n v="450"/>
    <n v="350"/>
    <n v="4500"/>
  </r>
  <r>
    <s v="ORD034"/>
    <d v="2026-05-22T00:00:00"/>
    <n v="2026"/>
    <x v="4"/>
    <x v="0"/>
    <x v="8"/>
    <x v="6"/>
    <x v="3"/>
    <x v="0"/>
    <n v="8"/>
    <n v="300"/>
    <n v="220"/>
    <n v="2400"/>
  </r>
  <r>
    <s v="ORD035"/>
    <d v="2026-05-26T00:00:00"/>
    <n v="2026"/>
    <x v="4"/>
    <x v="0"/>
    <x v="1"/>
    <x v="2"/>
    <x v="2"/>
    <x v="1"/>
    <n v="5"/>
    <n v="280"/>
    <n v="210"/>
    <n v="1400"/>
  </r>
  <r>
    <s v="ORD036"/>
    <d v="2026-05-30T00:00:00"/>
    <n v="2026"/>
    <x v="4"/>
    <x v="1"/>
    <x v="3"/>
    <x v="14"/>
    <x v="0"/>
    <x v="0"/>
    <n v="7"/>
    <n v="750"/>
    <n v="600"/>
    <n v="5250"/>
  </r>
  <r>
    <s v="ORD037"/>
    <d v="2026-06-04T00:00:00"/>
    <n v="2026"/>
    <x v="5"/>
    <x v="2"/>
    <x v="4"/>
    <x v="4"/>
    <x v="1"/>
    <x v="0"/>
    <n v="12"/>
    <n v="450"/>
    <n v="350"/>
    <n v="5400"/>
  </r>
  <r>
    <s v="ORD038"/>
    <d v="2026-06-08T00:00:00"/>
    <n v="2026"/>
    <x v="5"/>
    <x v="3"/>
    <x v="5"/>
    <x v="9"/>
    <x v="3"/>
    <x v="0"/>
    <n v="5"/>
    <n v="300"/>
    <n v="220"/>
    <n v="1500"/>
  </r>
  <r>
    <s v="ORD039"/>
    <d v="2026-06-12T00:00:00"/>
    <n v="2026"/>
    <x v="5"/>
    <x v="0"/>
    <x v="2"/>
    <x v="0"/>
    <x v="4"/>
    <x v="2"/>
    <n v="13"/>
    <n v="45"/>
    <n v="30"/>
    <n v="585"/>
  </r>
  <r>
    <s v="ORD040"/>
    <d v="2026-06-16T00:00:00"/>
    <n v="2026"/>
    <x v="5"/>
    <x v="0"/>
    <x v="0"/>
    <x v="1"/>
    <x v="0"/>
    <x v="0"/>
    <n v="9"/>
    <n v="750"/>
    <n v="600"/>
    <n v="6750"/>
  </r>
  <r>
    <s v="ORD041"/>
    <d v="2026-06-20T00:00:00"/>
    <n v="2026"/>
    <x v="5"/>
    <x v="0"/>
    <x v="7"/>
    <x v="2"/>
    <x v="6"/>
    <x v="2"/>
    <n v="22"/>
    <n v="25"/>
    <n v="15"/>
    <n v="550"/>
  </r>
  <r>
    <s v="ORD042"/>
    <d v="2026-06-24T00:00:00"/>
    <n v="2026"/>
    <x v="5"/>
    <x v="0"/>
    <x v="6"/>
    <x v="6"/>
    <x v="5"/>
    <x v="0"/>
    <n v="4"/>
    <n v="650"/>
    <n v="500"/>
    <n v="2600"/>
  </r>
  <r>
    <s v="ORD043"/>
    <d v="2026-06-28T00:00:00"/>
    <n v="2026"/>
    <x v="5"/>
    <x v="1"/>
    <x v="3"/>
    <x v="3"/>
    <x v="2"/>
    <x v="1"/>
    <n v="6"/>
    <n v="280"/>
    <n v="210"/>
    <n v="1680"/>
  </r>
  <r>
    <s v="ORD044"/>
    <d v="2026-07-03T00:00:00"/>
    <n v="2026"/>
    <x v="6"/>
    <x v="2"/>
    <x v="4"/>
    <x v="8"/>
    <x v="0"/>
    <x v="0"/>
    <n v="6"/>
    <n v="750"/>
    <n v="600"/>
    <n v="4500"/>
  </r>
  <r>
    <s v="ORD045"/>
    <d v="2026-07-07T00:00:00"/>
    <n v="2026"/>
    <x v="6"/>
    <x v="3"/>
    <x v="5"/>
    <x v="10"/>
    <x v="4"/>
    <x v="2"/>
    <n v="15"/>
    <n v="45"/>
    <n v="30"/>
    <n v="675"/>
  </r>
  <r>
    <s v="ORD046"/>
    <d v="2026-07-11T00:00:00"/>
    <n v="2026"/>
    <x v="6"/>
    <x v="0"/>
    <x v="0"/>
    <x v="0"/>
    <x v="1"/>
    <x v="0"/>
    <n v="9"/>
    <n v="450"/>
    <n v="350"/>
    <n v="4050"/>
  </r>
  <r>
    <s v="ORD047"/>
    <d v="2026-07-15T00:00:00"/>
    <n v="2026"/>
    <x v="6"/>
    <x v="0"/>
    <x v="1"/>
    <x v="1"/>
    <x v="3"/>
    <x v="0"/>
    <n v="6"/>
    <n v="300"/>
    <n v="220"/>
    <n v="1800"/>
  </r>
  <r>
    <s v="ORD048"/>
    <d v="2026-07-19T00:00:00"/>
    <n v="2026"/>
    <x v="6"/>
    <x v="0"/>
    <x v="2"/>
    <x v="2"/>
    <x v="2"/>
    <x v="1"/>
    <n v="7"/>
    <n v="280"/>
    <n v="210"/>
    <n v="1960"/>
  </r>
  <r>
    <s v="ORD049"/>
    <d v="2026-07-23T00:00:00"/>
    <n v="2026"/>
    <x v="6"/>
    <x v="0"/>
    <x v="8"/>
    <x v="6"/>
    <x v="0"/>
    <x v="0"/>
    <n v="5"/>
    <n v="750"/>
    <n v="600"/>
    <n v="3750"/>
  </r>
  <r>
    <s v="ORD050"/>
    <d v="2026-07-27T00:00:00"/>
    <n v="2026"/>
    <x v="6"/>
    <x v="1"/>
    <x v="3"/>
    <x v="7"/>
    <x v="5"/>
    <x v="0"/>
    <n v="4"/>
    <n v="650"/>
    <n v="500"/>
    <n v="2600"/>
  </r>
  <r>
    <s v="ORD051"/>
    <d v="2026-07-31T00:00:00"/>
    <n v="2026"/>
    <x v="6"/>
    <x v="2"/>
    <x v="4"/>
    <x v="4"/>
    <x v="6"/>
    <x v="2"/>
    <n v="25"/>
    <n v="25"/>
    <n v="15"/>
    <n v="625"/>
  </r>
  <r>
    <s v="ORD052"/>
    <d v="2026-08-05T00:00:00"/>
    <n v="2026"/>
    <x v="7"/>
    <x v="3"/>
    <x v="5"/>
    <x v="11"/>
    <x v="0"/>
    <x v="0"/>
    <n v="6"/>
    <n v="750"/>
    <n v="600"/>
    <n v="4500"/>
  </r>
  <r>
    <s v="ORD053"/>
    <d v="2026-08-09T00:00:00"/>
    <n v="2026"/>
    <x v="7"/>
    <x v="0"/>
    <x v="0"/>
    <x v="0"/>
    <x v="2"/>
    <x v="1"/>
    <n v="5"/>
    <n v="280"/>
    <n v="210"/>
    <n v="1400"/>
  </r>
  <r>
    <s v="ORD054"/>
    <d v="2026-08-13T00:00:00"/>
    <n v="2026"/>
    <x v="7"/>
    <x v="0"/>
    <x v="6"/>
    <x v="1"/>
    <x v="1"/>
    <x v="0"/>
    <n v="13"/>
    <n v="450"/>
    <n v="350"/>
    <n v="5850"/>
  </r>
  <r>
    <s v="ORD055"/>
    <d v="2026-08-17T00:00:00"/>
    <n v="2026"/>
    <x v="7"/>
    <x v="0"/>
    <x v="7"/>
    <x v="2"/>
    <x v="3"/>
    <x v="0"/>
    <n v="8"/>
    <n v="300"/>
    <n v="220"/>
    <n v="2400"/>
  </r>
  <r>
    <s v="ORD056"/>
    <d v="2026-08-21T00:00:00"/>
    <n v="2026"/>
    <x v="7"/>
    <x v="1"/>
    <x v="3"/>
    <x v="12"/>
    <x v="4"/>
    <x v="2"/>
    <n v="18"/>
    <n v="45"/>
    <n v="30"/>
    <n v="810"/>
  </r>
  <r>
    <s v="ORD057"/>
    <d v="2026-08-25T00:00:00"/>
    <n v="2026"/>
    <x v="7"/>
    <x v="2"/>
    <x v="4"/>
    <x v="8"/>
    <x v="5"/>
    <x v="0"/>
    <n v="5"/>
    <n v="650"/>
    <n v="500"/>
    <n v="3250"/>
  </r>
  <r>
    <s v="ORD058"/>
    <d v="2026-08-29T00:00:00"/>
    <n v="2026"/>
    <x v="7"/>
    <x v="3"/>
    <x v="5"/>
    <x v="5"/>
    <x v="1"/>
    <x v="0"/>
    <n v="8"/>
    <n v="450"/>
    <n v="350"/>
    <n v="3600"/>
  </r>
  <r>
    <s v="ORD059"/>
    <d v="2026-09-03T00:00:00"/>
    <n v="2026"/>
    <x v="8"/>
    <x v="0"/>
    <x v="1"/>
    <x v="6"/>
    <x v="0"/>
    <x v="0"/>
    <n v="7"/>
    <n v="750"/>
    <n v="600"/>
    <n v="5250"/>
  </r>
  <r>
    <s v="ORD060"/>
    <d v="2026-09-07T00:00:00"/>
    <n v="2026"/>
    <x v="8"/>
    <x v="0"/>
    <x v="0"/>
    <x v="0"/>
    <x v="6"/>
    <x v="2"/>
    <n v="30"/>
    <n v="25"/>
    <n v="15"/>
    <n v="750"/>
  </r>
  <r>
    <s v="ORD061"/>
    <d v="2026-09-11T00:00:00"/>
    <n v="2026"/>
    <x v="8"/>
    <x v="1"/>
    <x v="3"/>
    <x v="14"/>
    <x v="2"/>
    <x v="1"/>
    <n v="7"/>
    <n v="280"/>
    <n v="210"/>
    <n v="1960"/>
  </r>
  <r>
    <s v="ORD062"/>
    <d v="2026-09-15T00:00:00"/>
    <n v="2026"/>
    <x v="8"/>
    <x v="2"/>
    <x v="4"/>
    <x v="13"/>
    <x v="3"/>
    <x v="0"/>
    <n v="9"/>
    <n v="300"/>
    <n v="220"/>
    <n v="2700"/>
  </r>
  <r>
    <s v="ORD063"/>
    <d v="2026-09-19T00:00:00"/>
    <n v="2026"/>
    <x v="8"/>
    <x v="3"/>
    <x v="5"/>
    <x v="9"/>
    <x v="4"/>
    <x v="2"/>
    <n v="17"/>
    <n v="45"/>
    <n v="30"/>
    <n v="765"/>
  </r>
  <r>
    <s v="ORD064"/>
    <d v="2026-09-23T00:00:00"/>
    <n v="2026"/>
    <x v="8"/>
    <x v="0"/>
    <x v="2"/>
    <x v="1"/>
    <x v="5"/>
    <x v="0"/>
    <n v="6"/>
    <n v="650"/>
    <n v="500"/>
    <n v="3900"/>
  </r>
  <r>
    <s v="ORD065"/>
    <d v="2026-09-27T00:00:00"/>
    <n v="2026"/>
    <x v="8"/>
    <x v="0"/>
    <x v="8"/>
    <x v="2"/>
    <x v="1"/>
    <x v="0"/>
    <n v="12"/>
    <n v="450"/>
    <n v="350"/>
    <n v="5400"/>
  </r>
  <r>
    <s v="ORD066"/>
    <d v="2026-10-02T00:00:00"/>
    <n v="2026"/>
    <x v="9"/>
    <x v="0"/>
    <x v="6"/>
    <x v="6"/>
    <x v="0"/>
    <x v="0"/>
    <n v="8"/>
    <n v="750"/>
    <n v="600"/>
    <n v="6000"/>
  </r>
  <r>
    <s v="ORD067"/>
    <d v="2026-10-06T00:00:00"/>
    <n v="2026"/>
    <x v="9"/>
    <x v="1"/>
    <x v="3"/>
    <x v="3"/>
    <x v="3"/>
    <x v="0"/>
    <n v="7"/>
    <n v="300"/>
    <n v="220"/>
    <n v="2100"/>
  </r>
  <r>
    <s v="ORD068"/>
    <d v="2026-10-10T00:00:00"/>
    <n v="2026"/>
    <x v="9"/>
    <x v="2"/>
    <x v="4"/>
    <x v="4"/>
    <x v="2"/>
    <x v="1"/>
    <n v="6"/>
    <n v="280"/>
    <n v="210"/>
    <n v="1680"/>
  </r>
  <r>
    <s v="ORD069"/>
    <d v="2026-10-14T00:00:00"/>
    <n v="2026"/>
    <x v="9"/>
    <x v="3"/>
    <x v="5"/>
    <x v="10"/>
    <x v="5"/>
    <x v="0"/>
    <n v="4"/>
    <n v="650"/>
    <n v="500"/>
    <n v="2600"/>
  </r>
  <r>
    <s v="ORD070"/>
    <d v="2026-10-18T00:00:00"/>
    <n v="2026"/>
    <x v="9"/>
    <x v="0"/>
    <x v="0"/>
    <x v="0"/>
    <x v="4"/>
    <x v="2"/>
    <n v="20"/>
    <n v="45"/>
    <n v="30"/>
    <n v="900"/>
  </r>
  <r>
    <s v="ORD071"/>
    <d v="2026-10-22T00:00:00"/>
    <n v="2026"/>
    <x v="9"/>
    <x v="0"/>
    <x v="1"/>
    <x v="1"/>
    <x v="1"/>
    <x v="0"/>
    <n v="14"/>
    <n v="450"/>
    <n v="350"/>
    <n v="6300"/>
  </r>
  <r>
    <s v="ORD072"/>
    <d v="2026-10-26T00:00:00"/>
    <n v="2026"/>
    <x v="9"/>
    <x v="0"/>
    <x v="7"/>
    <x v="2"/>
    <x v="0"/>
    <x v="0"/>
    <n v="6"/>
    <n v="750"/>
    <n v="600"/>
    <n v="4500"/>
  </r>
  <r>
    <s v="ORD073"/>
    <d v="2026-10-30T00:00:00"/>
    <n v="2026"/>
    <x v="9"/>
    <x v="1"/>
    <x v="3"/>
    <x v="7"/>
    <x v="6"/>
    <x v="2"/>
    <n v="24"/>
    <n v="25"/>
    <n v="15"/>
    <n v="600"/>
  </r>
  <r>
    <s v="ORD074"/>
    <d v="2026-11-04T00:00:00"/>
    <n v="2026"/>
    <x v="10"/>
    <x v="2"/>
    <x v="4"/>
    <x v="8"/>
    <x v="0"/>
    <x v="0"/>
    <n v="7"/>
    <n v="750"/>
    <n v="600"/>
    <n v="5250"/>
  </r>
  <r>
    <s v="ORD075"/>
    <d v="2026-11-08T00:00:00"/>
    <n v="2026"/>
    <x v="10"/>
    <x v="3"/>
    <x v="5"/>
    <x v="11"/>
    <x v="3"/>
    <x v="0"/>
    <n v="8"/>
    <n v="300"/>
    <n v="220"/>
    <n v="2400"/>
  </r>
  <r>
    <s v="ORD076"/>
    <d v="2026-11-12T00:00:00"/>
    <n v="2026"/>
    <x v="10"/>
    <x v="0"/>
    <x v="0"/>
    <x v="6"/>
    <x v="2"/>
    <x v="1"/>
    <n v="6"/>
    <n v="280"/>
    <n v="210"/>
    <n v="1680"/>
  </r>
  <r>
    <s v="ORD077"/>
    <d v="2026-11-16T00:00:00"/>
    <n v="2026"/>
    <x v="10"/>
    <x v="0"/>
    <x v="6"/>
    <x v="0"/>
    <x v="5"/>
    <x v="0"/>
    <n v="5"/>
    <n v="650"/>
    <n v="500"/>
    <n v="3250"/>
  </r>
  <r>
    <s v="ORD078"/>
    <d v="2026-11-20T00:00:00"/>
    <n v="2026"/>
    <x v="10"/>
    <x v="0"/>
    <x v="2"/>
    <x v="1"/>
    <x v="1"/>
    <x v="0"/>
    <n v="15"/>
    <n v="450"/>
    <n v="350"/>
    <n v="6750"/>
  </r>
  <r>
    <s v="ORD079"/>
    <d v="2026-11-24T00:00:00"/>
    <n v="2026"/>
    <x v="10"/>
    <x v="1"/>
    <x v="3"/>
    <x v="12"/>
    <x v="4"/>
    <x v="2"/>
    <n v="19"/>
    <n v="45"/>
    <n v="30"/>
    <n v="855"/>
  </r>
  <r>
    <s v="ORD080"/>
    <d v="2026-11-28T00:00:00"/>
    <n v="2026"/>
    <x v="10"/>
    <x v="2"/>
    <x v="4"/>
    <x v="13"/>
    <x v="6"/>
    <x v="2"/>
    <n v="28"/>
    <n v="25"/>
    <n v="15"/>
    <n v="700"/>
  </r>
  <r>
    <s v="ORD081"/>
    <d v="2026-12-02T00:00:00"/>
    <n v="2026"/>
    <x v="11"/>
    <x v="3"/>
    <x v="5"/>
    <x v="5"/>
    <x v="0"/>
    <x v="0"/>
    <n v="5"/>
    <n v="750"/>
    <n v="600"/>
    <n v="3750"/>
  </r>
  <r>
    <s v="ORD082"/>
    <d v="2026-12-05T00:00:00"/>
    <n v="2026"/>
    <x v="11"/>
    <x v="0"/>
    <x v="0"/>
    <x v="2"/>
    <x v="3"/>
    <x v="0"/>
    <n v="10"/>
    <n v="300"/>
    <n v="220"/>
    <n v="3000"/>
  </r>
  <r>
    <s v="ORD083"/>
    <d v="2026-12-08T00:00:00"/>
    <n v="2026"/>
    <x v="11"/>
    <x v="0"/>
    <x v="1"/>
    <x v="6"/>
    <x v="2"/>
    <x v="1"/>
    <n v="7"/>
    <n v="280"/>
    <n v="210"/>
    <n v="1960"/>
  </r>
  <r>
    <s v="ORD084"/>
    <d v="2026-12-11T00:00:00"/>
    <n v="2026"/>
    <x v="11"/>
    <x v="1"/>
    <x v="3"/>
    <x v="14"/>
    <x v="1"/>
    <x v="0"/>
    <n v="11"/>
    <n v="450"/>
    <n v="350"/>
    <n v="4950"/>
  </r>
  <r>
    <s v="ORD085"/>
    <d v="2026-12-14T00:00:00"/>
    <n v="2026"/>
    <x v="11"/>
    <x v="2"/>
    <x v="4"/>
    <x v="4"/>
    <x v="5"/>
    <x v="0"/>
    <n v="6"/>
    <n v="650"/>
    <n v="500"/>
    <n v="3900"/>
  </r>
  <r>
    <s v="ORD086"/>
    <d v="2026-12-17T00:00:00"/>
    <n v="2026"/>
    <x v="11"/>
    <x v="0"/>
    <x v="8"/>
    <x v="0"/>
    <x v="0"/>
    <x v="0"/>
    <n v="9"/>
    <n v="750"/>
    <n v="600"/>
    <n v="6750"/>
  </r>
  <r>
    <s v="ORD087"/>
    <d v="2026-12-20T00:00:00"/>
    <n v="2026"/>
    <x v="11"/>
    <x v="3"/>
    <x v="5"/>
    <x v="9"/>
    <x v="4"/>
    <x v="2"/>
    <n v="21"/>
    <n v="45"/>
    <n v="30"/>
    <n v="945"/>
  </r>
  <r>
    <s v="ORD088"/>
    <d v="2026-12-22T00:00:00"/>
    <n v="2026"/>
    <x v="11"/>
    <x v="0"/>
    <x v="7"/>
    <x v="1"/>
    <x v="6"/>
    <x v="2"/>
    <n v="32"/>
    <n v="25"/>
    <n v="15"/>
    <n v="800"/>
  </r>
  <r>
    <s v="ORD089"/>
    <d v="2026-12-24T00:00:00"/>
    <n v="2026"/>
    <x v="11"/>
    <x v="0"/>
    <x v="6"/>
    <x v="2"/>
    <x v="1"/>
    <x v="0"/>
    <n v="13"/>
    <n v="450"/>
    <n v="350"/>
    <n v="5850"/>
  </r>
  <r>
    <s v="ORD090"/>
    <d v="2026-12-26T00:00:00"/>
    <n v="2026"/>
    <x v="11"/>
    <x v="1"/>
    <x v="3"/>
    <x v="3"/>
    <x v="2"/>
    <x v="1"/>
    <n v="8"/>
    <n v="280"/>
    <n v="210"/>
    <n v="2240"/>
  </r>
  <r>
    <s v="ORD091"/>
    <d v="2026-12-27T00:00:00"/>
    <n v="2026"/>
    <x v="11"/>
    <x v="2"/>
    <x v="4"/>
    <x v="8"/>
    <x v="3"/>
    <x v="0"/>
    <n v="10"/>
    <n v="300"/>
    <n v="220"/>
    <n v="3000"/>
  </r>
  <r>
    <s v="ORD092"/>
    <d v="2026-12-28T00:00:00"/>
    <n v="2026"/>
    <x v="11"/>
    <x v="0"/>
    <x v="0"/>
    <x v="6"/>
    <x v="5"/>
    <x v="0"/>
    <n v="7"/>
    <n v="650"/>
    <n v="500"/>
    <n v="4550"/>
  </r>
  <r>
    <s v="ORD093"/>
    <d v="2026-12-29T00:00:00"/>
    <n v="2026"/>
    <x v="11"/>
    <x v="3"/>
    <x v="5"/>
    <x v="10"/>
    <x v="0"/>
    <x v="0"/>
    <n v="6"/>
    <n v="750"/>
    <n v="600"/>
    <n v="4500"/>
  </r>
  <r>
    <s v="ORD094"/>
    <d v="2026-12-29T00:00:00"/>
    <n v="2026"/>
    <x v="11"/>
    <x v="0"/>
    <x v="1"/>
    <x v="0"/>
    <x v="4"/>
    <x v="2"/>
    <n v="23"/>
    <n v="45"/>
    <n v="30"/>
    <n v="1035"/>
  </r>
  <r>
    <s v="ORD095"/>
    <d v="2026-12-30T00:00:00"/>
    <n v="2026"/>
    <x v="11"/>
    <x v="1"/>
    <x v="3"/>
    <x v="7"/>
    <x v="0"/>
    <x v="0"/>
    <n v="8"/>
    <n v="750"/>
    <n v="600"/>
    <n v="6000"/>
  </r>
  <r>
    <s v="ORD096"/>
    <d v="2026-12-30T00:00:00"/>
    <n v="2026"/>
    <x v="11"/>
    <x v="2"/>
    <x v="4"/>
    <x v="13"/>
    <x v="1"/>
    <x v="0"/>
    <n v="16"/>
    <n v="450"/>
    <n v="350"/>
    <n v="7200"/>
  </r>
  <r>
    <s v="ORD097"/>
    <d v="2026-12-30T00:00:00"/>
    <n v="2026"/>
    <x v="11"/>
    <x v="0"/>
    <x v="2"/>
    <x v="1"/>
    <x v="3"/>
    <x v="0"/>
    <n v="9"/>
    <n v="300"/>
    <n v="220"/>
    <n v="2700"/>
  </r>
  <r>
    <s v="ORD098"/>
    <d v="2026-12-31T00:00:00"/>
    <n v="2026"/>
    <x v="11"/>
    <x v="0"/>
    <x v="8"/>
    <x v="2"/>
    <x v="2"/>
    <x v="1"/>
    <n v="8"/>
    <n v="280"/>
    <n v="210"/>
    <n v="2240"/>
  </r>
  <r>
    <s v="ORD099"/>
    <d v="2026-12-31T00:00:00"/>
    <n v="2026"/>
    <x v="11"/>
    <x v="3"/>
    <x v="5"/>
    <x v="11"/>
    <x v="5"/>
    <x v="0"/>
    <n v="5"/>
    <n v="650"/>
    <n v="500"/>
    <n v="3250"/>
  </r>
  <r>
    <s v="ORD100"/>
    <d v="2026-12-31T00:00:00"/>
    <n v="2026"/>
    <x v="11"/>
    <x v="0"/>
    <x v="0"/>
    <x v="0"/>
    <x v="0"/>
    <x v="0"/>
    <n v="10"/>
    <n v="750"/>
    <n v="600"/>
    <n v="750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1D7588D-D559-417B-9766-1E8DA0E49182}" name="PivotTable9" cacheId="63"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9">
  <location ref="G19:H23" firstHeaderRow="1" firstDataRow="1" firstDataCol="1"/>
  <pivotFields count="13">
    <pivotField compact="0" outline="0" showAll="0"/>
    <pivotField compact="0" numFmtId="15" outline="0" showAll="0"/>
    <pivotField compact="0" outline="0" showAll="0"/>
    <pivotField compact="0" outline="0" showAll="0"/>
    <pivotField compact="0" outline="0" showAll="0">
      <items count="5">
        <item x="2"/>
        <item x="3"/>
        <item x="1"/>
        <item x="0"/>
        <item t="default"/>
      </items>
    </pivotField>
    <pivotField compact="0" outline="0" showAll="0">
      <items count="10">
        <item x="3"/>
        <item x="6"/>
        <item x="5"/>
        <item x="7"/>
        <item x="2"/>
        <item x="8"/>
        <item x="1"/>
        <item x="0"/>
        <item x="4"/>
        <item t="default"/>
      </items>
    </pivotField>
    <pivotField compact="0" outline="0" showAll="0">
      <items count="16">
        <item x="12"/>
        <item x="0"/>
        <item x="2"/>
        <item x="3"/>
        <item x="9"/>
        <item x="8"/>
        <item x="7"/>
        <item x="13"/>
        <item x="6"/>
        <item x="10"/>
        <item x="4"/>
        <item x="11"/>
        <item x="14"/>
        <item x="1"/>
        <item x="5"/>
        <item t="default"/>
      </items>
    </pivotField>
    <pivotField compact="0" outline="0" showAll="0">
      <items count="8">
        <item x="5"/>
        <item x="4"/>
        <item x="0"/>
        <item x="3"/>
        <item x="6"/>
        <item x="2"/>
        <item x="1"/>
        <item t="default"/>
      </items>
    </pivotField>
    <pivotField axis="axisRow" compact="0" outline="0" showAll="0" sortType="descending">
      <items count="4">
        <item x="2"/>
        <item x="0"/>
        <item x="1"/>
        <item t="default"/>
      </items>
      <autoSortScope>
        <pivotArea dataOnly="0" outline="0" fieldPosition="0">
          <references count="1">
            <reference field="4294967294" count="1" selected="0">
              <x v="0"/>
            </reference>
          </references>
        </pivotArea>
      </autoSortScope>
    </pivotField>
    <pivotField compact="0" outline="0" showAll="0"/>
    <pivotField compact="0" numFmtId="164" outline="0" showAll="0"/>
    <pivotField compact="0" outline="0" showAll="0"/>
    <pivotField dataField="1" compact="0" numFmtId="165" outline="0" showAll="0"/>
  </pivotFields>
  <rowFields count="1">
    <field x="8"/>
  </rowFields>
  <rowItems count="4">
    <i>
      <x v="1"/>
    </i>
    <i>
      <x v="2"/>
    </i>
    <i>
      <x/>
    </i>
    <i t="grand">
      <x/>
    </i>
  </rowItems>
  <colItems count="1">
    <i/>
  </colItems>
  <dataFields count="1">
    <dataField name="Sum of Total Sales" fld="12" baseField="0" baseItem="0" numFmtId="165"/>
  </dataFields>
  <formats count="14">
    <format dxfId="5">
      <pivotArea type="all" dataOnly="0" outline="0" fieldPosition="0"/>
    </format>
    <format dxfId="6">
      <pivotArea outline="0" collapsedLevelsAreSubtotals="1" fieldPosition="0"/>
    </format>
    <format dxfId="7">
      <pivotArea field="7" type="button" dataOnly="0" labelOnly="1" outline="0"/>
    </format>
    <format dxfId="8">
      <pivotArea dataOnly="0" labelOnly="1" grandRow="1" outline="0" fieldPosition="0"/>
    </format>
    <format dxfId="9">
      <pivotArea dataOnly="0" labelOnly="1" outline="0" axis="axisValues" fieldPosition="0"/>
    </format>
    <format dxfId="10">
      <pivotArea type="all" dataOnly="0" outline="0" fieldPosition="0"/>
    </format>
    <format dxfId="11">
      <pivotArea outline="0" collapsedLevelsAreSubtotals="1" fieldPosition="0"/>
    </format>
    <format dxfId="12">
      <pivotArea field="7" type="button" dataOnly="0" labelOnly="1" outline="0"/>
    </format>
    <format dxfId="13">
      <pivotArea dataOnly="0" labelOnly="1" grandRow="1" outline="0" fieldPosition="0"/>
    </format>
    <format dxfId="14">
      <pivotArea dataOnly="0" labelOnly="1" outline="0" axis="axisValues" fieldPosition="0"/>
    </format>
    <format dxfId="15">
      <pivotArea field="4" type="button" dataOnly="0" labelOnly="1" outline="0"/>
    </format>
    <format dxfId="16">
      <pivotArea dataOnly="0" labelOnly="1" outline="0" axis="axisValues" fieldPosition="0"/>
    </format>
    <format dxfId="4">
      <pivotArea field="8" type="button" dataOnly="0" labelOnly="1" outline="0" axis="axisRow" fieldPosition="0"/>
    </format>
    <format dxfId="3">
      <pivotArea dataOnly="0" labelOnly="1" outline="0" axis="axisValues" fieldPosition="0"/>
    </format>
  </formats>
  <chartFormats count="2">
    <chartFormat chart="3" format="0" series="1">
      <pivotArea type="data" outline="0" fieldPosition="0">
        <references count="1">
          <reference field="4294967294" count="1" selected="0">
            <x v="0"/>
          </reference>
        </references>
      </pivotArea>
    </chartFormat>
    <chartFormat chart="8" format="1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6CC2C34-277F-49EF-8DFB-841C5879A4B5}" name="PivotTable8" cacheId="63" applyNumberFormats="0" applyBorderFormats="0" applyFontFormats="0" applyPatternFormats="0" applyAlignmentFormats="0" applyWidthHeightFormats="1" dataCaption="Values" missingCaption="0" updatedVersion="8" minRefreshableVersion="3" useAutoFormatting="1" itemPrintTitles="1" createdVersion="8" indent="0" compact="0" compactData="0" multipleFieldFilters="0" chartFormat="9">
  <location ref="G3:H16" firstHeaderRow="1" firstDataRow="1" firstDataCol="1"/>
  <pivotFields count="13">
    <pivotField compact="0" outline="0" showAll="0"/>
    <pivotField compact="0" numFmtId="15" outline="0" showAll="0"/>
    <pivotField compact="0" outline="0" showAll="0"/>
    <pivotField axis="axisRow" compact="0" outline="0" showAll="0" sortType="descending">
      <items count="13">
        <item x="0"/>
        <item x="1"/>
        <item x="2"/>
        <item x="3"/>
        <item x="4"/>
        <item x="5"/>
        <item x="6"/>
        <item x="7"/>
        <item x="8"/>
        <item x="9"/>
        <item x="10"/>
        <item x="11"/>
        <item t="default"/>
      </items>
      <autoSortScope>
        <pivotArea dataOnly="0" outline="0" fieldPosition="0">
          <references count="1">
            <reference field="4294967294" count="1" selected="0">
              <x v="0"/>
            </reference>
          </references>
        </pivotArea>
      </autoSortScope>
    </pivotField>
    <pivotField compact="0" outline="0" showAll="0">
      <items count="5">
        <item x="2"/>
        <item x="3"/>
        <item x="1"/>
        <item x="0"/>
        <item t="default"/>
      </items>
    </pivotField>
    <pivotField compact="0" outline="0" showAll="0">
      <items count="10">
        <item x="3"/>
        <item x="6"/>
        <item x="5"/>
        <item x="7"/>
        <item x="2"/>
        <item x="8"/>
        <item x="1"/>
        <item x="0"/>
        <item x="4"/>
        <item t="default"/>
      </items>
    </pivotField>
    <pivotField compact="0" outline="0" showAll="0">
      <items count="16">
        <item x="12"/>
        <item x="0"/>
        <item x="2"/>
        <item x="3"/>
        <item x="9"/>
        <item x="8"/>
        <item x="7"/>
        <item x="13"/>
        <item x="6"/>
        <item x="10"/>
        <item x="4"/>
        <item x="11"/>
        <item x="14"/>
        <item x="1"/>
        <item x="5"/>
        <item t="default"/>
      </items>
    </pivotField>
    <pivotField compact="0" outline="0" showAll="0">
      <items count="8">
        <item x="5"/>
        <item x="4"/>
        <item x="0"/>
        <item x="3"/>
        <item x="6"/>
        <item x="2"/>
        <item x="1"/>
        <item t="default"/>
      </items>
    </pivotField>
    <pivotField compact="0" outline="0" showAll="0">
      <items count="4">
        <item x="2"/>
        <item x="0"/>
        <item x="1"/>
        <item t="default"/>
      </items>
    </pivotField>
    <pivotField compact="0" outline="0" showAll="0"/>
    <pivotField compact="0" numFmtId="164" outline="0" showAll="0"/>
    <pivotField compact="0" outline="0" showAll="0"/>
    <pivotField dataField="1" compact="0" numFmtId="165" outline="0" showAll="0"/>
  </pivotFields>
  <rowFields count="1">
    <field x="3"/>
  </rowFields>
  <rowItems count="13">
    <i>
      <x v="11"/>
    </i>
    <i>
      <x v="9"/>
    </i>
    <i>
      <x v="7"/>
    </i>
    <i>
      <x v="4"/>
    </i>
    <i>
      <x v="10"/>
    </i>
    <i>
      <x v="8"/>
    </i>
    <i>
      <x v="6"/>
    </i>
    <i>
      <x v="5"/>
    </i>
    <i>
      <x v="3"/>
    </i>
    <i>
      <x/>
    </i>
    <i>
      <x v="2"/>
    </i>
    <i>
      <x v="1"/>
    </i>
    <i t="grand">
      <x/>
    </i>
  </rowItems>
  <colItems count="1">
    <i/>
  </colItems>
  <dataFields count="1">
    <dataField name="Sum of Total Sales" fld="12" baseField="0" baseItem="0" numFmtId="165"/>
  </dataFields>
  <formats count="14">
    <format dxfId="19">
      <pivotArea type="all" dataOnly="0" outline="0" fieldPosition="0"/>
    </format>
    <format dxfId="20">
      <pivotArea outline="0" collapsedLevelsAreSubtotals="1" fieldPosition="0"/>
    </format>
    <format dxfId="21">
      <pivotArea field="7" type="button" dataOnly="0" labelOnly="1" outline="0"/>
    </format>
    <format dxfId="22">
      <pivotArea dataOnly="0" labelOnly="1" grandRow="1" outline="0" fieldPosition="0"/>
    </format>
    <format dxfId="23">
      <pivotArea dataOnly="0" labelOnly="1" outline="0" axis="axisValues" fieldPosition="0"/>
    </format>
    <format dxfId="24">
      <pivotArea type="all" dataOnly="0" outline="0" fieldPosition="0"/>
    </format>
    <format dxfId="25">
      <pivotArea outline="0" collapsedLevelsAreSubtotals="1" fieldPosition="0"/>
    </format>
    <format dxfId="26">
      <pivotArea field="7" type="button" dataOnly="0" labelOnly="1" outline="0"/>
    </format>
    <format dxfId="27">
      <pivotArea dataOnly="0" labelOnly="1" grandRow="1" outline="0" fieldPosition="0"/>
    </format>
    <format dxfId="28">
      <pivotArea dataOnly="0" labelOnly="1" outline="0" axis="axisValues" fieldPosition="0"/>
    </format>
    <format dxfId="29">
      <pivotArea field="4" type="button" dataOnly="0" labelOnly="1" outline="0"/>
    </format>
    <format dxfId="30">
      <pivotArea dataOnly="0" labelOnly="1" outline="0" axis="axisValues" fieldPosition="0"/>
    </format>
    <format dxfId="18">
      <pivotArea field="3" type="button" dataOnly="0" labelOnly="1" outline="0" axis="axisRow" fieldPosition="0"/>
    </format>
    <format dxfId="17">
      <pivotArea dataOnly="0" labelOnly="1" outline="0" axis="axisValues" fieldPosition="0"/>
    </format>
  </formats>
  <chartFormats count="2">
    <chartFormat chart="3" format="0" series="1">
      <pivotArea type="data" outline="0" fieldPosition="0">
        <references count="1">
          <reference field="4294967294" count="1" selected="0">
            <x v="0"/>
          </reference>
        </references>
      </pivotArea>
    </chartFormat>
    <chartFormat chart="8" format="1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248CBEE-E826-4861-9B09-5EA49897ED3F}" name="PivotTable2" cacheId="63"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9">
  <location ref="E11:E12" firstHeaderRow="1" firstDataRow="1" firstDataCol="0"/>
  <pivotFields count="13">
    <pivotField compact="0" outline="0" showAll="0"/>
    <pivotField compact="0" numFmtId="15" outline="0" showAll="0"/>
    <pivotField compact="0" outline="0" showAll="0"/>
    <pivotField compact="0" outline="0" showAll="0"/>
    <pivotField compact="0" outline="0" showAll="0"/>
    <pivotField compact="0" outline="0" showAll="0">
      <items count="10">
        <item x="3"/>
        <item x="6"/>
        <item x="5"/>
        <item x="7"/>
        <item x="2"/>
        <item x="8"/>
        <item x="1"/>
        <item x="0"/>
        <item x="4"/>
        <item t="default"/>
      </items>
    </pivotField>
    <pivotField compact="0" outline="0" showAll="0">
      <items count="16">
        <item x="12"/>
        <item x="0"/>
        <item x="2"/>
        <item x="3"/>
        <item x="9"/>
        <item x="8"/>
        <item x="7"/>
        <item x="13"/>
        <item x="6"/>
        <item x="10"/>
        <item x="4"/>
        <item x="11"/>
        <item x="14"/>
        <item x="1"/>
        <item x="5"/>
        <item t="default"/>
      </items>
    </pivotField>
    <pivotField compact="0" outline="0" showAll="0">
      <items count="8">
        <item x="5"/>
        <item x="4"/>
        <item x="0"/>
        <item x="3"/>
        <item x="6"/>
        <item x="2"/>
        <item x="1"/>
        <item t="default"/>
      </items>
    </pivotField>
    <pivotField compact="0" outline="0" showAll="0">
      <items count="4">
        <item x="2"/>
        <item x="0"/>
        <item x="1"/>
        <item t="default"/>
      </items>
    </pivotField>
    <pivotField compact="0" outline="0" showAll="0"/>
    <pivotField compact="0" numFmtId="164" outline="0" showAll="0"/>
    <pivotField compact="0" outline="0" showAll="0"/>
    <pivotField dataField="1" compact="0" numFmtId="165" outline="0" showAll="0"/>
  </pivotFields>
  <rowItems count="1">
    <i/>
  </rowItems>
  <colItems count="1">
    <i/>
  </colItems>
  <dataFields count="1">
    <dataField name="Sum of Total Sales" fld="12" baseField="0" baseItem="0" numFmtId="165"/>
  </dataFields>
  <formats count="17">
    <format dxfId="43">
      <pivotArea type="all" dataOnly="0" outline="0" fieldPosition="0"/>
    </format>
    <format dxfId="44">
      <pivotArea outline="0" collapsedLevelsAreSubtotals="1" fieldPosition="0"/>
    </format>
    <format dxfId="45">
      <pivotArea field="7" type="button" dataOnly="0" labelOnly="1" outline="0"/>
    </format>
    <format dxfId="46">
      <pivotArea dataOnly="0" labelOnly="1" grandRow="1" outline="0" fieldPosition="0"/>
    </format>
    <format dxfId="47">
      <pivotArea dataOnly="0" labelOnly="1" outline="0" axis="axisValues" fieldPosition="0"/>
    </format>
    <format dxfId="48">
      <pivotArea type="all" dataOnly="0" outline="0" fieldPosition="0"/>
    </format>
    <format dxfId="49">
      <pivotArea outline="0" collapsedLevelsAreSubtotals="1" fieldPosition="0"/>
    </format>
    <format dxfId="50">
      <pivotArea field="7" type="button" dataOnly="0" labelOnly="1" outline="0"/>
    </format>
    <format dxfId="51">
      <pivotArea dataOnly="0" labelOnly="1" grandRow="1" outline="0" fieldPosition="0"/>
    </format>
    <format dxfId="52">
      <pivotArea dataOnly="0" labelOnly="1" outline="0" axis="axisValues" fieldPosition="0"/>
    </format>
    <format dxfId="34">
      <pivotArea dataOnly="0" outline="0" axis="axisValues" fieldPosition="0"/>
    </format>
    <format dxfId="33">
      <pivotArea outline="0" collapsedLevelsAreSubtotals="1" fieldPosition="0"/>
    </format>
    <format dxfId="32">
      <pivotArea outline="0" collapsedLevelsAreSubtotals="1" fieldPosition="0"/>
    </format>
    <format dxfId="31">
      <pivotArea outline="0" collapsedLevelsAreSubtotals="1" fieldPosition="0"/>
    </format>
    <format dxfId="2">
      <pivotArea dataOnly="0" outline="0" axis="axisValues" fieldPosition="0"/>
    </format>
    <format dxfId="1">
      <pivotArea dataOnly="0" outline="0" axis="axisValues" fieldPosition="0"/>
    </format>
    <format dxfId="0">
      <pivotArea dataOnly="0" labelOnly="1" outline="0" axis="axisValues" fieldPosition="0"/>
    </format>
  </formats>
  <chartFormats count="2">
    <chartFormat chart="3" format="0" series="1">
      <pivotArea type="data" outline="0" fieldPosition="0">
        <references count="1">
          <reference field="4294967294" count="1" selected="0">
            <x v="0"/>
          </reference>
        </references>
      </pivotArea>
    </chartFormat>
    <chartFormat chart="8" format="1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D74DA8D-9A46-45CC-B455-A7E186C006EA}" name="PivotTable7" cacheId="63"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23">
  <location ref="W19:X32" firstHeaderRow="1" firstDataRow="1" firstDataCol="1"/>
  <pivotFields count="13">
    <pivotField compact="0" outline="0" showAll="0"/>
    <pivotField compact="0" numFmtId="15" outline="0" showAll="0"/>
    <pivotField compact="0" outline="0" showAll="0"/>
    <pivotField axis="axisRow" compact="0" outline="0" showAll="0">
      <items count="13">
        <item x="0"/>
        <item x="1"/>
        <item x="2"/>
        <item x="3"/>
        <item x="4"/>
        <item x="5"/>
        <item x="6"/>
        <item x="7"/>
        <item x="8"/>
        <item x="9"/>
        <item x="10"/>
        <item x="11"/>
        <item t="default"/>
      </items>
    </pivotField>
    <pivotField compact="0" outline="0" showAll="0"/>
    <pivotField compact="0" outline="0" showAll="0">
      <items count="10">
        <item x="3"/>
        <item x="6"/>
        <item x="5"/>
        <item x="7"/>
        <item x="2"/>
        <item x="8"/>
        <item x="1"/>
        <item x="0"/>
        <item x="4"/>
        <item t="default"/>
      </items>
    </pivotField>
    <pivotField compact="0" outline="0" showAll="0">
      <items count="16">
        <item x="12"/>
        <item x="0"/>
        <item x="2"/>
        <item x="3"/>
        <item x="9"/>
        <item x="8"/>
        <item x="7"/>
        <item x="13"/>
        <item x="6"/>
        <item x="10"/>
        <item x="4"/>
        <item x="11"/>
        <item x="14"/>
        <item x="1"/>
        <item x="5"/>
        <item t="default"/>
      </items>
    </pivotField>
    <pivotField compact="0" outline="0" showAll="0">
      <items count="8">
        <item x="5"/>
        <item x="4"/>
        <item x="0"/>
        <item x="3"/>
        <item x="6"/>
        <item x="2"/>
        <item x="1"/>
        <item t="default"/>
      </items>
    </pivotField>
    <pivotField compact="0" outline="0" showAll="0">
      <items count="4">
        <item x="2"/>
        <item x="0"/>
        <item x="1"/>
        <item t="default"/>
      </items>
    </pivotField>
    <pivotField compact="0" outline="0" showAll="0"/>
    <pivotField compact="0" numFmtId="164" outline="0" showAll="0"/>
    <pivotField compact="0" outline="0" showAll="0"/>
    <pivotField dataField="1" compact="0" numFmtId="165" outline="0" showAll="0"/>
  </pivotFields>
  <rowFields count="1">
    <field x="3"/>
  </rowFields>
  <rowItems count="13">
    <i>
      <x/>
    </i>
    <i>
      <x v="1"/>
    </i>
    <i>
      <x v="2"/>
    </i>
    <i>
      <x v="3"/>
    </i>
    <i>
      <x v="4"/>
    </i>
    <i>
      <x v="5"/>
    </i>
    <i>
      <x v="6"/>
    </i>
    <i>
      <x v="7"/>
    </i>
    <i>
      <x v="8"/>
    </i>
    <i>
      <x v="9"/>
    </i>
    <i>
      <x v="10"/>
    </i>
    <i>
      <x v="11"/>
    </i>
    <i t="grand">
      <x/>
    </i>
  </rowItems>
  <colItems count="1">
    <i/>
  </colItems>
  <dataFields count="1">
    <dataField name="Sum of Total Sales" fld="12" baseField="0" baseItem="0" numFmtId="165"/>
  </dataFields>
  <formats count="10">
    <format dxfId="76">
      <pivotArea type="all" dataOnly="0" outline="0" fieldPosition="0"/>
    </format>
    <format dxfId="75">
      <pivotArea outline="0" collapsedLevelsAreSubtotals="1" fieldPosition="0"/>
    </format>
    <format dxfId="74">
      <pivotArea field="7" type="button" dataOnly="0" labelOnly="1" outline="0"/>
    </format>
    <format dxfId="73">
      <pivotArea dataOnly="0" labelOnly="1" grandRow="1" outline="0" fieldPosition="0"/>
    </format>
    <format dxfId="72">
      <pivotArea dataOnly="0" labelOnly="1" outline="0" axis="axisValues" fieldPosition="0"/>
    </format>
    <format dxfId="71">
      <pivotArea type="all" dataOnly="0" outline="0" fieldPosition="0"/>
    </format>
    <format dxfId="70">
      <pivotArea outline="0" collapsedLevelsAreSubtotals="1" fieldPosition="0"/>
    </format>
    <format dxfId="69">
      <pivotArea field="7" type="button" dataOnly="0" labelOnly="1" outline="0"/>
    </format>
    <format dxfId="68">
      <pivotArea dataOnly="0" labelOnly="1" grandRow="1" outline="0" fieldPosition="0"/>
    </format>
    <format dxfId="67">
      <pivotArea dataOnly="0" labelOnly="1" outline="0" axis="axisValues" fieldPosition="0"/>
    </format>
  </formats>
  <chartFormats count="11">
    <chartFormat chart="3" format="0" series="1">
      <pivotArea type="data" outline="0" fieldPosition="0">
        <references count="1">
          <reference field="4294967294" count="1" selected="0">
            <x v="0"/>
          </reference>
        </references>
      </pivotArea>
    </chartFormat>
    <chartFormat chart="4" format="0" series="1">
      <pivotArea type="data" outline="0" fieldPosition="0">
        <references count="1">
          <reference field="4294967294" count="1" selected="0">
            <x v="0"/>
          </reference>
        </references>
      </pivotArea>
    </chartFormat>
    <chartFormat chart="6" format="0" series="1">
      <pivotArea type="data" outline="0" fieldPosition="0">
        <references count="1">
          <reference field="4294967294" count="1" selected="0">
            <x v="0"/>
          </reference>
        </references>
      </pivotArea>
    </chartFormat>
    <chartFormat chart="11" format="0" series="1">
      <pivotArea type="data" outline="0" fieldPosition="0">
        <references count="1">
          <reference field="4294967294" count="1" selected="0">
            <x v="0"/>
          </reference>
        </references>
      </pivotArea>
    </chartFormat>
    <chartFormat chart="18" format="14" series="1">
      <pivotArea type="data" outline="0" fieldPosition="0">
        <references count="1">
          <reference field="4294967294" count="1" selected="0">
            <x v="0"/>
          </reference>
        </references>
      </pivotArea>
    </chartFormat>
    <chartFormat chart="18" format="15">
      <pivotArea type="data" outline="0" fieldPosition="0">
        <references count="2">
          <reference field="4294967294" count="1" selected="0">
            <x v="0"/>
          </reference>
          <reference field="3" count="1" selected="0">
            <x v="0"/>
          </reference>
        </references>
      </pivotArea>
    </chartFormat>
    <chartFormat chart="18" format="16">
      <pivotArea type="data" outline="0" fieldPosition="0">
        <references count="2">
          <reference field="4294967294" count="1" selected="0">
            <x v="0"/>
          </reference>
          <reference field="3" count="1" selected="0">
            <x v="2"/>
          </reference>
        </references>
      </pivotArea>
    </chartFormat>
    <chartFormat chart="18" format="17">
      <pivotArea type="data" outline="0" fieldPosition="0">
        <references count="2">
          <reference field="4294967294" count="1" selected="0">
            <x v="0"/>
          </reference>
          <reference field="3" count="1" selected="0">
            <x v="4"/>
          </reference>
        </references>
      </pivotArea>
    </chartFormat>
    <chartFormat chart="18" format="18">
      <pivotArea type="data" outline="0" fieldPosition="0">
        <references count="2">
          <reference field="4294967294" count="1" selected="0">
            <x v="0"/>
          </reference>
          <reference field="3" count="1" selected="0">
            <x v="6"/>
          </reference>
        </references>
      </pivotArea>
    </chartFormat>
    <chartFormat chart="18" format="19">
      <pivotArea type="data" outline="0" fieldPosition="0">
        <references count="2">
          <reference field="4294967294" count="1" selected="0">
            <x v="0"/>
          </reference>
          <reference field="3" count="1" selected="0">
            <x v="8"/>
          </reference>
        </references>
      </pivotArea>
    </chartFormat>
    <chartFormat chart="18" format="20">
      <pivotArea type="data" outline="0" fieldPosition="0">
        <references count="2">
          <reference field="4294967294" count="1" selected="0">
            <x v="0"/>
          </reference>
          <reference field="3" count="1" selected="0">
            <x v="1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DC6B295-2E75-4348-BF1A-137D6213DAFE}" name="PivotTable6" cacheId="63"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11">
  <location ref="W3:X7" firstHeaderRow="1" firstDataRow="1" firstDataCol="1"/>
  <pivotFields count="13">
    <pivotField compact="0" outline="0" showAll="0"/>
    <pivotField compact="0" numFmtId="15" outline="0" showAll="0"/>
    <pivotField compact="0" outline="0" showAll="0"/>
    <pivotField compact="0" outline="0" showAll="0"/>
    <pivotField compact="0" outline="0" showAll="0"/>
    <pivotField compact="0" outline="0" showAll="0">
      <items count="10">
        <item x="3"/>
        <item x="6"/>
        <item x="5"/>
        <item x="7"/>
        <item x="2"/>
        <item x="8"/>
        <item x="1"/>
        <item x="0"/>
        <item x="4"/>
        <item t="default"/>
      </items>
    </pivotField>
    <pivotField compact="0" outline="0" showAll="0">
      <items count="16">
        <item x="12"/>
        <item x="0"/>
        <item x="2"/>
        <item x="3"/>
        <item x="9"/>
        <item x="8"/>
        <item x="7"/>
        <item x="13"/>
        <item x="6"/>
        <item x="10"/>
        <item x="4"/>
        <item x="11"/>
        <item x="14"/>
        <item x="1"/>
        <item x="5"/>
        <item t="default"/>
      </items>
    </pivotField>
    <pivotField compact="0" outline="0" showAll="0">
      <items count="8">
        <item x="5"/>
        <item x="4"/>
        <item x="0"/>
        <item x="3"/>
        <item x="6"/>
        <item x="2"/>
        <item x="1"/>
        <item t="default"/>
      </items>
    </pivotField>
    <pivotField axis="axisRow" compact="0" outline="0" showAll="0">
      <items count="4">
        <item x="2"/>
        <item x="0"/>
        <item x="1"/>
        <item t="default"/>
      </items>
    </pivotField>
    <pivotField compact="0" outline="0" showAll="0"/>
    <pivotField compact="0" numFmtId="164" outline="0" showAll="0"/>
    <pivotField compact="0" outline="0" showAll="0"/>
    <pivotField dataField="1" compact="0" numFmtId="165" outline="0" showAll="0"/>
  </pivotFields>
  <rowFields count="1">
    <field x="8"/>
  </rowFields>
  <rowItems count="4">
    <i>
      <x/>
    </i>
    <i>
      <x v="1"/>
    </i>
    <i>
      <x v="2"/>
    </i>
    <i t="grand">
      <x/>
    </i>
  </rowItems>
  <colItems count="1">
    <i/>
  </colItems>
  <dataFields count="1">
    <dataField name="Sum of Total Sales" fld="12" baseField="0" baseItem="0" numFmtId="165"/>
  </dataFields>
  <formats count="10">
    <format dxfId="86">
      <pivotArea type="all" dataOnly="0" outline="0" fieldPosition="0"/>
    </format>
    <format dxfId="85">
      <pivotArea outline="0" collapsedLevelsAreSubtotals="1" fieldPosition="0"/>
    </format>
    <format dxfId="84">
      <pivotArea field="7" type="button" dataOnly="0" labelOnly="1" outline="0"/>
    </format>
    <format dxfId="83">
      <pivotArea dataOnly="0" labelOnly="1" grandRow="1" outline="0" fieldPosition="0"/>
    </format>
    <format dxfId="82">
      <pivotArea dataOnly="0" labelOnly="1" outline="0" axis="axisValues" fieldPosition="0"/>
    </format>
    <format dxfId="81">
      <pivotArea type="all" dataOnly="0" outline="0" fieldPosition="0"/>
    </format>
    <format dxfId="80">
      <pivotArea outline="0" collapsedLevelsAreSubtotals="1" fieldPosition="0"/>
    </format>
    <format dxfId="79">
      <pivotArea field="7" type="button" dataOnly="0" labelOnly="1" outline="0"/>
    </format>
    <format dxfId="78">
      <pivotArea dataOnly="0" labelOnly="1" grandRow="1" outline="0" fieldPosition="0"/>
    </format>
    <format dxfId="77">
      <pivotArea dataOnly="0" labelOnly="1" outline="0" axis="axisValues" fieldPosition="0"/>
    </format>
  </formats>
  <chartFormats count="6">
    <chartFormat chart="3" format="0" series="1">
      <pivotArea type="data" outline="0" fieldPosition="0">
        <references count="1">
          <reference field="4294967294" count="1" selected="0">
            <x v="0"/>
          </reference>
        </references>
      </pivotArea>
    </chartFormat>
    <chartFormat chart="4" format="0" series="1">
      <pivotArea type="data" outline="0" fieldPosition="0">
        <references count="1">
          <reference field="4294967294" count="1" selected="0">
            <x v="0"/>
          </reference>
        </references>
      </pivotArea>
    </chartFormat>
    <chartFormat chart="10" format="8" series="1">
      <pivotArea type="data" outline="0" fieldPosition="0">
        <references count="1">
          <reference field="4294967294" count="1" selected="0">
            <x v="0"/>
          </reference>
        </references>
      </pivotArea>
    </chartFormat>
    <chartFormat chart="10" format="9">
      <pivotArea type="data" outline="0" fieldPosition="0">
        <references count="2">
          <reference field="4294967294" count="1" selected="0">
            <x v="0"/>
          </reference>
          <reference field="8" count="1" selected="0">
            <x v="0"/>
          </reference>
        </references>
      </pivotArea>
    </chartFormat>
    <chartFormat chart="10" format="10">
      <pivotArea type="data" outline="0" fieldPosition="0">
        <references count="2">
          <reference field="4294967294" count="1" selected="0">
            <x v="0"/>
          </reference>
          <reference field="8" count="1" selected="0">
            <x v="1"/>
          </reference>
        </references>
      </pivotArea>
    </chartFormat>
    <chartFormat chart="10" format="11">
      <pivotArea type="data" outline="0" fieldPosition="0">
        <references count="2">
          <reference field="4294967294" count="1" selected="0">
            <x v="0"/>
          </reference>
          <reference field="8"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67D3D8C0-6615-44C0-AD17-FB160A809A63}" name="PivotTable3" cacheId="63"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9">
  <location ref="D18:E28" firstHeaderRow="1" firstDataRow="1" firstDataCol="1"/>
  <pivotFields count="13">
    <pivotField compact="0" outline="0" showAll="0"/>
    <pivotField compact="0" numFmtId="15" outline="0" showAll="0"/>
    <pivotField compact="0" outline="0" showAll="0"/>
    <pivotField compact="0" outline="0" showAll="0"/>
    <pivotField compact="0" outline="0" showAll="0"/>
    <pivotField axis="axisRow" compact="0" outline="0" showAll="0" sortType="descending">
      <items count="10">
        <item x="3"/>
        <item x="6"/>
        <item x="5"/>
        <item x="7"/>
        <item x="2"/>
        <item x="8"/>
        <item x="1"/>
        <item x="0"/>
        <item x="4"/>
        <item t="default"/>
      </items>
      <autoSortScope>
        <pivotArea dataOnly="0" outline="0" fieldPosition="0">
          <references count="1">
            <reference field="4294967294" count="1" selected="0">
              <x v="0"/>
            </reference>
          </references>
        </pivotArea>
      </autoSortScope>
    </pivotField>
    <pivotField compact="0" outline="0" showAll="0">
      <items count="16">
        <item x="12"/>
        <item x="0"/>
        <item x="2"/>
        <item x="3"/>
        <item x="9"/>
        <item x="8"/>
        <item x="7"/>
        <item x="13"/>
        <item x="6"/>
        <item x="10"/>
        <item x="4"/>
        <item x="11"/>
        <item x="14"/>
        <item x="1"/>
        <item x="5"/>
        <item t="default"/>
      </items>
    </pivotField>
    <pivotField compact="0" outline="0" showAll="0">
      <items count="8">
        <item x="5"/>
        <item x="4"/>
        <item x="0"/>
        <item x="3"/>
        <item x="6"/>
        <item x="2"/>
        <item x="1"/>
        <item t="default"/>
      </items>
    </pivotField>
    <pivotField compact="0" outline="0" showAll="0">
      <items count="4">
        <item x="2"/>
        <item x="0"/>
        <item x="1"/>
        <item t="default"/>
      </items>
    </pivotField>
    <pivotField compact="0" outline="0" showAll="0"/>
    <pivotField compact="0" numFmtId="164" outline="0" showAll="0"/>
    <pivotField compact="0" outline="0" showAll="0"/>
    <pivotField dataField="1" compact="0" numFmtId="165" outline="0" showAll="0"/>
  </pivotFields>
  <rowFields count="1">
    <field x="5"/>
  </rowFields>
  <rowItems count="10">
    <i>
      <x v="8"/>
    </i>
    <i>
      <x v="7"/>
    </i>
    <i>
      <x/>
    </i>
    <i>
      <x v="2"/>
    </i>
    <i>
      <x v="1"/>
    </i>
    <i>
      <x v="6"/>
    </i>
    <i>
      <x v="4"/>
    </i>
    <i>
      <x v="5"/>
    </i>
    <i>
      <x v="3"/>
    </i>
    <i t="grand">
      <x/>
    </i>
  </rowItems>
  <colItems count="1">
    <i/>
  </colItems>
  <dataFields count="1">
    <dataField name="Sum of Total Sales" fld="12" baseField="0" baseItem="0" numFmtId="165"/>
  </dataFields>
  <formats count="12">
    <format dxfId="96">
      <pivotArea type="all" dataOnly="0" outline="0" fieldPosition="0"/>
    </format>
    <format dxfId="95">
      <pivotArea outline="0" collapsedLevelsAreSubtotals="1" fieldPosition="0"/>
    </format>
    <format dxfId="94">
      <pivotArea field="7" type="button" dataOnly="0" labelOnly="1" outline="0"/>
    </format>
    <format dxfId="93">
      <pivotArea dataOnly="0" labelOnly="1" grandRow="1" outline="0" fieldPosition="0"/>
    </format>
    <format dxfId="92">
      <pivotArea dataOnly="0" labelOnly="1" outline="0" axis="axisValues" fieldPosition="0"/>
    </format>
    <format dxfId="91">
      <pivotArea type="all" dataOnly="0" outline="0" fieldPosition="0"/>
    </format>
    <format dxfId="90">
      <pivotArea outline="0" collapsedLevelsAreSubtotals="1" fieldPosition="0"/>
    </format>
    <format dxfId="89">
      <pivotArea field="7" type="button" dataOnly="0" labelOnly="1" outline="0"/>
    </format>
    <format dxfId="88">
      <pivotArea dataOnly="0" labelOnly="1" grandRow="1" outline="0" fieldPosition="0"/>
    </format>
    <format dxfId="87">
      <pivotArea dataOnly="0" labelOnly="1" outline="0" axis="axisValues" fieldPosition="0"/>
    </format>
    <format dxfId="36">
      <pivotArea field="5" type="button" dataOnly="0" labelOnly="1" outline="0" axis="axisRow" fieldPosition="0"/>
    </format>
    <format dxfId="35">
      <pivotArea dataOnly="0" labelOnly="1" outline="0" axis="axisValues" fieldPosition="0"/>
    </format>
  </formats>
  <chartFormats count="11">
    <chartFormat chart="3" format="0" series="1">
      <pivotArea type="data" outline="0" fieldPosition="0">
        <references count="1">
          <reference field="4294967294" count="1" selected="0">
            <x v="0"/>
          </reference>
        </references>
      </pivotArea>
    </chartFormat>
    <chartFormat chart="8" format="20" series="1">
      <pivotArea type="data" outline="0" fieldPosition="0">
        <references count="1">
          <reference field="4294967294" count="1" selected="0">
            <x v="0"/>
          </reference>
        </references>
      </pivotArea>
    </chartFormat>
    <chartFormat chart="8" format="21">
      <pivotArea type="data" outline="0" fieldPosition="0">
        <references count="2">
          <reference field="4294967294" count="1" selected="0">
            <x v="0"/>
          </reference>
          <reference field="5" count="1" selected="0">
            <x v="0"/>
          </reference>
        </references>
      </pivotArea>
    </chartFormat>
    <chartFormat chart="8" format="22">
      <pivotArea type="data" outline="0" fieldPosition="0">
        <references count="2">
          <reference field="4294967294" count="1" selected="0">
            <x v="0"/>
          </reference>
          <reference field="5" count="1" selected="0">
            <x v="1"/>
          </reference>
        </references>
      </pivotArea>
    </chartFormat>
    <chartFormat chart="8" format="23">
      <pivotArea type="data" outline="0" fieldPosition="0">
        <references count="2">
          <reference field="4294967294" count="1" selected="0">
            <x v="0"/>
          </reference>
          <reference field="5" count="1" selected="0">
            <x v="2"/>
          </reference>
        </references>
      </pivotArea>
    </chartFormat>
    <chartFormat chart="8" format="24">
      <pivotArea type="data" outline="0" fieldPosition="0">
        <references count="2">
          <reference field="4294967294" count="1" selected="0">
            <x v="0"/>
          </reference>
          <reference field="5" count="1" selected="0">
            <x v="3"/>
          </reference>
        </references>
      </pivotArea>
    </chartFormat>
    <chartFormat chart="8" format="25">
      <pivotArea type="data" outline="0" fieldPosition="0">
        <references count="2">
          <reference field="4294967294" count="1" selected="0">
            <x v="0"/>
          </reference>
          <reference field="5" count="1" selected="0">
            <x v="4"/>
          </reference>
        </references>
      </pivotArea>
    </chartFormat>
    <chartFormat chart="8" format="26">
      <pivotArea type="data" outline="0" fieldPosition="0">
        <references count="2">
          <reference field="4294967294" count="1" selected="0">
            <x v="0"/>
          </reference>
          <reference field="5" count="1" selected="0">
            <x v="5"/>
          </reference>
        </references>
      </pivotArea>
    </chartFormat>
    <chartFormat chart="8" format="27">
      <pivotArea type="data" outline="0" fieldPosition="0">
        <references count="2">
          <reference field="4294967294" count="1" selected="0">
            <x v="0"/>
          </reference>
          <reference field="5" count="1" selected="0">
            <x v="6"/>
          </reference>
        </references>
      </pivotArea>
    </chartFormat>
    <chartFormat chart="8" format="28">
      <pivotArea type="data" outline="0" fieldPosition="0">
        <references count="2">
          <reference field="4294967294" count="1" selected="0">
            <x v="0"/>
          </reference>
          <reference field="5" count="1" selected="0">
            <x v="7"/>
          </reference>
        </references>
      </pivotArea>
    </chartFormat>
    <chartFormat chart="8" format="29">
      <pivotArea type="data" outline="0" fieldPosition="0">
        <references count="2">
          <reference field="4294967294" count="1" selected="0">
            <x v="0"/>
          </reference>
          <reference field="5" count="1" selected="0">
            <x v="8"/>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2E19921B-DC82-4798-A38C-4D02A04A06AD}" name="PivotTable1" cacheId="63"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8">
  <location ref="A3:B11" firstHeaderRow="1" firstDataRow="1" firstDataCol="1"/>
  <pivotFields count="13">
    <pivotField compact="0" outline="0" showAll="0"/>
    <pivotField compact="0" numFmtId="15" outline="0" showAll="0"/>
    <pivotField compact="0" outline="0" showAll="0"/>
    <pivotField compact="0" outline="0" showAll="0"/>
    <pivotField compact="0" outline="0" showAll="0"/>
    <pivotField compact="0" outline="0" showAll="0">
      <items count="10">
        <item x="3"/>
        <item x="6"/>
        <item x="5"/>
        <item x="7"/>
        <item x="2"/>
        <item x="8"/>
        <item x="1"/>
        <item x="0"/>
        <item x="4"/>
        <item t="default"/>
      </items>
    </pivotField>
    <pivotField compact="0" outline="0" showAll="0">
      <items count="16">
        <item x="12"/>
        <item x="0"/>
        <item x="2"/>
        <item x="3"/>
        <item x="9"/>
        <item x="8"/>
        <item x="7"/>
        <item x="13"/>
        <item x="6"/>
        <item x="10"/>
        <item x="4"/>
        <item x="11"/>
        <item x="14"/>
        <item x="1"/>
        <item x="5"/>
        <item t="default"/>
      </items>
    </pivotField>
    <pivotField axis="axisRow" compact="0" outline="0" showAll="0" sortType="descending">
      <items count="8">
        <item x="5"/>
        <item x="4"/>
        <item x="0"/>
        <item x="3"/>
        <item x="6"/>
        <item x="2"/>
        <item x="1"/>
        <item t="default"/>
      </items>
      <autoSortScope>
        <pivotArea dataOnly="0" outline="0" fieldPosition="0">
          <references count="1">
            <reference field="4294967294" count="1" selected="0">
              <x v="0"/>
            </reference>
          </references>
        </pivotArea>
      </autoSortScope>
    </pivotField>
    <pivotField compact="0" outline="0" showAll="0">
      <items count="4">
        <item x="2"/>
        <item x="0"/>
        <item x="1"/>
        <item t="default"/>
      </items>
    </pivotField>
    <pivotField compact="0" outline="0" showAll="0"/>
    <pivotField compact="0" numFmtId="164" outline="0" showAll="0"/>
    <pivotField compact="0" outline="0" showAll="0"/>
    <pivotField dataField="1" compact="0" numFmtId="165" outline="0" showAll="0"/>
  </pivotFields>
  <rowFields count="1">
    <field x="7"/>
  </rowFields>
  <rowItems count="8">
    <i>
      <x v="2"/>
    </i>
    <i>
      <x v="6"/>
    </i>
    <i>
      <x/>
    </i>
    <i>
      <x v="3"/>
    </i>
    <i>
      <x v="5"/>
    </i>
    <i>
      <x v="1"/>
    </i>
    <i>
      <x v="4"/>
    </i>
    <i t="grand">
      <x/>
    </i>
  </rowItems>
  <colItems count="1">
    <i/>
  </colItems>
  <dataFields count="1">
    <dataField name="Sum of Total Sales" fld="12" baseField="0" baseItem="0" numFmtId="165"/>
  </dataFields>
  <formats count="14">
    <format dxfId="108">
      <pivotArea type="all" dataOnly="0" outline="0" fieldPosition="0"/>
    </format>
    <format dxfId="107">
      <pivotArea outline="0" collapsedLevelsAreSubtotals="1" fieldPosition="0"/>
    </format>
    <format dxfId="106">
      <pivotArea field="7" type="button" dataOnly="0" labelOnly="1" outline="0" axis="axisRow" fieldPosition="0"/>
    </format>
    <format dxfId="105">
      <pivotArea dataOnly="0" labelOnly="1" outline="0" fieldPosition="0">
        <references count="1">
          <reference field="7" count="0"/>
        </references>
      </pivotArea>
    </format>
    <format dxfId="104">
      <pivotArea dataOnly="0" labelOnly="1" grandRow="1" outline="0" fieldPosition="0"/>
    </format>
    <format dxfId="103">
      <pivotArea dataOnly="0" labelOnly="1" outline="0" axis="axisValues" fieldPosition="0"/>
    </format>
    <format dxfId="102">
      <pivotArea type="all" dataOnly="0" outline="0" fieldPosition="0"/>
    </format>
    <format dxfId="101">
      <pivotArea outline="0" collapsedLevelsAreSubtotals="1" fieldPosition="0"/>
    </format>
    <format dxfId="100">
      <pivotArea field="7" type="button" dataOnly="0" labelOnly="1" outline="0" axis="axisRow" fieldPosition="0"/>
    </format>
    <format dxfId="99">
      <pivotArea dataOnly="0" labelOnly="1" outline="0" fieldPosition="0">
        <references count="1">
          <reference field="7" count="0"/>
        </references>
      </pivotArea>
    </format>
    <format dxfId="98">
      <pivotArea dataOnly="0" labelOnly="1" grandRow="1" outline="0" fieldPosition="0"/>
    </format>
    <format dxfId="97">
      <pivotArea dataOnly="0" labelOnly="1" outline="0" axis="axisValues" fieldPosition="0"/>
    </format>
    <format dxfId="42">
      <pivotArea field="7" type="button" dataOnly="0" labelOnly="1" outline="0" axis="axisRow" fieldPosition="0"/>
    </format>
    <format dxfId="41">
      <pivotArea dataOnly="0" labelOnly="1" outline="0" axis="axisValues" fieldPosition="0"/>
    </format>
  </formats>
  <chartFormats count="8">
    <chartFormat chart="6" format="16" series="1">
      <pivotArea type="data" outline="0" fieldPosition="0">
        <references count="1">
          <reference field="4294967294" count="1" selected="0">
            <x v="0"/>
          </reference>
        </references>
      </pivotArea>
    </chartFormat>
    <chartFormat chart="6" format="17">
      <pivotArea type="data" outline="0" fieldPosition="0">
        <references count="2">
          <reference field="4294967294" count="1" selected="0">
            <x v="0"/>
          </reference>
          <reference field="7" count="1" selected="0">
            <x v="0"/>
          </reference>
        </references>
      </pivotArea>
    </chartFormat>
    <chartFormat chart="6" format="18">
      <pivotArea type="data" outline="0" fieldPosition="0">
        <references count="2">
          <reference field="4294967294" count="1" selected="0">
            <x v="0"/>
          </reference>
          <reference field="7" count="1" selected="0">
            <x v="1"/>
          </reference>
        </references>
      </pivotArea>
    </chartFormat>
    <chartFormat chart="6" format="19">
      <pivotArea type="data" outline="0" fieldPosition="0">
        <references count="2">
          <reference field="4294967294" count="1" selected="0">
            <x v="0"/>
          </reference>
          <reference field="7" count="1" selected="0">
            <x v="2"/>
          </reference>
        </references>
      </pivotArea>
    </chartFormat>
    <chartFormat chart="6" format="20">
      <pivotArea type="data" outline="0" fieldPosition="0">
        <references count="2">
          <reference field="4294967294" count="1" selected="0">
            <x v="0"/>
          </reference>
          <reference field="7" count="1" selected="0">
            <x v="3"/>
          </reference>
        </references>
      </pivotArea>
    </chartFormat>
    <chartFormat chart="6" format="21">
      <pivotArea type="data" outline="0" fieldPosition="0">
        <references count="2">
          <reference field="4294967294" count="1" selected="0">
            <x v="0"/>
          </reference>
          <reference field="7" count="1" selected="0">
            <x v="4"/>
          </reference>
        </references>
      </pivotArea>
    </chartFormat>
    <chartFormat chart="6" format="22">
      <pivotArea type="data" outline="0" fieldPosition="0">
        <references count="2">
          <reference field="4294967294" count="1" selected="0">
            <x v="0"/>
          </reference>
          <reference field="7" count="1" selected="0">
            <x v="5"/>
          </reference>
        </references>
      </pivotArea>
    </chartFormat>
    <chartFormat chart="6" format="23">
      <pivotArea type="data" outline="0" fieldPosition="0">
        <references count="2">
          <reference field="4294967294" count="1" selected="0">
            <x v="0"/>
          </reference>
          <reference field="7" count="1" selected="0">
            <x v="6"/>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29611C68-F551-469F-BF85-2574F79BBAAD}" name="PivotTable5" cacheId="63"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9">
  <location ref="D3:E8" firstHeaderRow="1" firstDataRow="1" firstDataCol="1"/>
  <pivotFields count="13">
    <pivotField compact="0" outline="0" showAll="0"/>
    <pivotField compact="0" numFmtId="15" outline="0" showAll="0"/>
    <pivotField compact="0" outline="0" showAll="0"/>
    <pivotField compact="0" outline="0" showAll="0"/>
    <pivotField axis="axisRow" compact="0" outline="0" showAll="0" sortType="descending">
      <items count="5">
        <item x="2"/>
        <item x="3"/>
        <item x="1"/>
        <item x="0"/>
        <item t="default"/>
      </items>
      <autoSortScope>
        <pivotArea dataOnly="0" outline="0" fieldPosition="0">
          <references count="1">
            <reference field="4294967294" count="1" selected="0">
              <x v="0"/>
            </reference>
          </references>
        </pivotArea>
      </autoSortScope>
    </pivotField>
    <pivotField compact="0" outline="0" showAll="0">
      <items count="10">
        <item x="3"/>
        <item x="6"/>
        <item x="5"/>
        <item x="7"/>
        <item x="2"/>
        <item x="8"/>
        <item x="1"/>
        <item x="0"/>
        <item x="4"/>
        <item t="default"/>
      </items>
    </pivotField>
    <pivotField compact="0" outline="0" showAll="0">
      <items count="16">
        <item x="12"/>
        <item x="0"/>
        <item x="2"/>
        <item x="3"/>
        <item x="9"/>
        <item x="8"/>
        <item x="7"/>
        <item x="13"/>
        <item x="6"/>
        <item x="10"/>
        <item x="4"/>
        <item x="11"/>
        <item x="14"/>
        <item x="1"/>
        <item x="5"/>
        <item t="default"/>
      </items>
    </pivotField>
    <pivotField compact="0" outline="0" showAll="0">
      <items count="8">
        <item x="5"/>
        <item x="4"/>
        <item x="0"/>
        <item x="3"/>
        <item x="6"/>
        <item x="2"/>
        <item x="1"/>
        <item t="default"/>
      </items>
    </pivotField>
    <pivotField compact="0" outline="0" showAll="0">
      <items count="4">
        <item x="2"/>
        <item x="0"/>
        <item x="1"/>
        <item t="default"/>
      </items>
    </pivotField>
    <pivotField compact="0" outline="0" showAll="0"/>
    <pivotField compact="0" numFmtId="164" outline="0" showAll="0"/>
    <pivotField compact="0" outline="0" showAll="0"/>
    <pivotField dataField="1" compact="0" numFmtId="165" outline="0" showAll="0"/>
  </pivotFields>
  <rowFields count="1">
    <field x="4"/>
  </rowFields>
  <rowItems count="5">
    <i>
      <x v="3"/>
    </i>
    <i>
      <x/>
    </i>
    <i>
      <x v="2"/>
    </i>
    <i>
      <x v="1"/>
    </i>
    <i t="grand">
      <x/>
    </i>
  </rowItems>
  <colItems count="1">
    <i/>
  </colItems>
  <dataFields count="1">
    <dataField name="Sum of Total Sales" fld="12" baseField="0" baseItem="0" numFmtId="165"/>
  </dataFields>
  <formats count="12">
    <format dxfId="118">
      <pivotArea type="all" dataOnly="0" outline="0" fieldPosition="0"/>
    </format>
    <format dxfId="117">
      <pivotArea outline="0" collapsedLevelsAreSubtotals="1" fieldPosition="0"/>
    </format>
    <format dxfId="116">
      <pivotArea field="7" type="button" dataOnly="0" labelOnly="1" outline="0"/>
    </format>
    <format dxfId="115">
      <pivotArea dataOnly="0" labelOnly="1" grandRow="1" outline="0" fieldPosition="0"/>
    </format>
    <format dxfId="114">
      <pivotArea dataOnly="0" labelOnly="1" outline="0" axis="axisValues" fieldPosition="0"/>
    </format>
    <format dxfId="113">
      <pivotArea type="all" dataOnly="0" outline="0" fieldPosition="0"/>
    </format>
    <format dxfId="112">
      <pivotArea outline="0" collapsedLevelsAreSubtotals="1" fieldPosition="0"/>
    </format>
    <format dxfId="111">
      <pivotArea field="7" type="button" dataOnly="0" labelOnly="1" outline="0"/>
    </format>
    <format dxfId="110">
      <pivotArea dataOnly="0" labelOnly="1" grandRow="1" outline="0" fieldPosition="0"/>
    </format>
    <format dxfId="109">
      <pivotArea dataOnly="0" labelOnly="1" outline="0" axis="axisValues" fieldPosition="0"/>
    </format>
    <format dxfId="40">
      <pivotArea field="4" type="button" dataOnly="0" labelOnly="1" outline="0" axis="axisRow" fieldPosition="0"/>
    </format>
    <format dxfId="39">
      <pivotArea dataOnly="0" labelOnly="1" outline="0" axis="axisValues" fieldPosition="0"/>
    </format>
  </formats>
  <chartFormats count="6">
    <chartFormat chart="3" format="0" series="1">
      <pivotArea type="data" outline="0" fieldPosition="0">
        <references count="1">
          <reference field="4294967294" count="1" selected="0">
            <x v="0"/>
          </reference>
        </references>
      </pivotArea>
    </chartFormat>
    <chartFormat chart="8" format="10" series="1">
      <pivotArea type="data" outline="0" fieldPosition="0">
        <references count="1">
          <reference field="4294967294" count="1" selected="0">
            <x v="0"/>
          </reference>
        </references>
      </pivotArea>
    </chartFormat>
    <chartFormat chart="8" format="11">
      <pivotArea type="data" outline="0" fieldPosition="0">
        <references count="2">
          <reference field="4294967294" count="1" selected="0">
            <x v="0"/>
          </reference>
          <reference field="4" count="1" selected="0">
            <x v="0"/>
          </reference>
        </references>
      </pivotArea>
    </chartFormat>
    <chartFormat chart="8" format="12">
      <pivotArea type="data" outline="0" fieldPosition="0">
        <references count="2">
          <reference field="4294967294" count="1" selected="0">
            <x v="0"/>
          </reference>
          <reference field="4" count="1" selected="0">
            <x v="1"/>
          </reference>
        </references>
      </pivotArea>
    </chartFormat>
    <chartFormat chart="8" format="13">
      <pivotArea type="data" outline="0" fieldPosition="0">
        <references count="2">
          <reference field="4294967294" count="1" selected="0">
            <x v="0"/>
          </reference>
          <reference field="4" count="1" selected="0">
            <x v="2"/>
          </reference>
        </references>
      </pivotArea>
    </chartFormat>
    <chartFormat chart="8" format="14">
      <pivotArea type="data" outline="0" fieldPosition="0">
        <references count="2">
          <reference field="4294967294" count="1" selected="0">
            <x v="0"/>
          </reference>
          <reference field="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04F83367-BFD5-46F1-A47A-8687F872D59E}" name="PivotTable4" cacheId="63"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13">
  <location ref="A18:B34" firstHeaderRow="1" firstDataRow="1" firstDataCol="1"/>
  <pivotFields count="13">
    <pivotField compact="0" outline="0" showAll="0"/>
    <pivotField compact="0" numFmtId="15" outline="0" showAll="0"/>
    <pivotField compact="0" outline="0" showAll="0"/>
    <pivotField compact="0" outline="0" showAll="0"/>
    <pivotField compact="0" outline="0" showAll="0"/>
    <pivotField compact="0" outline="0" showAll="0">
      <items count="10">
        <item x="3"/>
        <item x="6"/>
        <item x="5"/>
        <item x="7"/>
        <item x="2"/>
        <item x="8"/>
        <item x="1"/>
        <item x="0"/>
        <item x="4"/>
        <item t="default"/>
      </items>
    </pivotField>
    <pivotField axis="axisRow" compact="0" outline="0" showAll="0" sortType="descending">
      <items count="16">
        <item x="12"/>
        <item x="0"/>
        <item x="2"/>
        <item x="3"/>
        <item x="9"/>
        <item x="8"/>
        <item x="7"/>
        <item x="13"/>
        <item x="6"/>
        <item x="10"/>
        <item x="4"/>
        <item x="11"/>
        <item x="14"/>
        <item x="1"/>
        <item x="5"/>
        <item t="default"/>
      </items>
      <autoSortScope>
        <pivotArea dataOnly="0" outline="0" fieldPosition="0">
          <references count="1">
            <reference field="4294967294" count="1" selected="0">
              <x v="0"/>
            </reference>
          </references>
        </pivotArea>
      </autoSortScope>
    </pivotField>
    <pivotField compact="0" outline="0" showAll="0">
      <items count="8">
        <item x="5"/>
        <item x="4"/>
        <item x="0"/>
        <item x="3"/>
        <item x="6"/>
        <item x="2"/>
        <item x="1"/>
        <item t="default"/>
      </items>
    </pivotField>
    <pivotField compact="0" outline="0" showAll="0">
      <items count="4">
        <item x="2"/>
        <item x="0"/>
        <item x="1"/>
        <item t="default"/>
      </items>
    </pivotField>
    <pivotField compact="0" outline="0" showAll="0"/>
    <pivotField compact="0" numFmtId="164" outline="0" showAll="0"/>
    <pivotField compact="0" outline="0" showAll="0"/>
    <pivotField dataField="1" compact="0" numFmtId="165" outline="0" showAll="0"/>
  </pivotFields>
  <rowFields count="1">
    <field x="6"/>
  </rowFields>
  <rowItems count="16">
    <i>
      <x v="13"/>
    </i>
    <i>
      <x v="2"/>
    </i>
    <i>
      <x v="1"/>
    </i>
    <i>
      <x v="8"/>
    </i>
    <i>
      <x v="5"/>
    </i>
    <i>
      <x v="10"/>
    </i>
    <i>
      <x v="3"/>
    </i>
    <i>
      <x v="12"/>
    </i>
    <i>
      <x v="11"/>
    </i>
    <i>
      <x v="7"/>
    </i>
    <i>
      <x v="6"/>
    </i>
    <i>
      <x v="9"/>
    </i>
    <i>
      <x v="14"/>
    </i>
    <i>
      <x v="4"/>
    </i>
    <i>
      <x/>
    </i>
    <i t="grand">
      <x/>
    </i>
  </rowItems>
  <colItems count="1">
    <i/>
  </colItems>
  <dataFields count="1">
    <dataField name="Sum of Total Sales" fld="12" baseField="0" baseItem="0" numFmtId="165"/>
  </dataFields>
  <formats count="12">
    <format dxfId="53">
      <pivotArea type="all" dataOnly="0" outline="0" fieldPosition="0"/>
    </format>
    <format dxfId="54">
      <pivotArea outline="0" collapsedLevelsAreSubtotals="1" fieldPosition="0"/>
    </format>
    <format dxfId="55">
      <pivotArea field="7" type="button" dataOnly="0" labelOnly="1" outline="0"/>
    </format>
    <format dxfId="56">
      <pivotArea dataOnly="0" labelOnly="1" grandRow="1" outline="0" fieldPosition="0"/>
    </format>
    <format dxfId="57">
      <pivotArea dataOnly="0" labelOnly="1" outline="0" axis="axisValues" fieldPosition="0"/>
    </format>
    <format dxfId="58">
      <pivotArea type="all" dataOnly="0" outline="0" fieldPosition="0"/>
    </format>
    <format dxfId="59">
      <pivotArea outline="0" collapsedLevelsAreSubtotals="1" fieldPosition="0"/>
    </format>
    <format dxfId="60">
      <pivotArea field="7" type="button" dataOnly="0" labelOnly="1" outline="0"/>
    </format>
    <format dxfId="61">
      <pivotArea dataOnly="0" labelOnly="1" grandRow="1" outline="0" fieldPosition="0"/>
    </format>
    <format dxfId="62">
      <pivotArea dataOnly="0" labelOnly="1" outline="0" axis="axisValues" fieldPosition="0"/>
    </format>
    <format dxfId="38">
      <pivotArea field="6" type="button" dataOnly="0" labelOnly="1" outline="0" axis="axisRow" fieldPosition="0"/>
    </format>
    <format dxfId="37">
      <pivotArea dataOnly="0" labelOnly="1" outline="0" axis="axisValues" fieldPosition="0"/>
    </format>
  </formats>
  <chartFormats count="18">
    <chartFormat chart="3" format="0" series="1">
      <pivotArea type="data" outline="0" fieldPosition="0">
        <references count="1">
          <reference field="4294967294" count="1" selected="0">
            <x v="0"/>
          </reference>
        </references>
      </pivotArea>
    </chartFormat>
    <chartFormat chart="4" format="0" series="1">
      <pivotArea type="data" outline="0" fieldPosition="0">
        <references count="1">
          <reference field="4294967294" count="1" selected="0">
            <x v="0"/>
          </reference>
        </references>
      </pivotArea>
    </chartFormat>
    <chartFormat chart="12" format="32" series="1">
      <pivotArea type="data" outline="0" fieldPosition="0">
        <references count="1">
          <reference field="4294967294" count="1" selected="0">
            <x v="0"/>
          </reference>
        </references>
      </pivotArea>
    </chartFormat>
    <chartFormat chart="12" format="48">
      <pivotArea type="data" outline="0" fieldPosition="0">
        <references count="2">
          <reference field="4294967294" count="1" selected="0">
            <x v="0"/>
          </reference>
          <reference field="6" count="1" selected="0">
            <x v="0"/>
          </reference>
        </references>
      </pivotArea>
    </chartFormat>
    <chartFormat chart="12" format="49">
      <pivotArea type="data" outline="0" fieldPosition="0">
        <references count="2">
          <reference field="4294967294" count="1" selected="0">
            <x v="0"/>
          </reference>
          <reference field="6" count="1" selected="0">
            <x v="4"/>
          </reference>
        </references>
      </pivotArea>
    </chartFormat>
    <chartFormat chart="12" format="50">
      <pivotArea type="data" outline="0" fieldPosition="0">
        <references count="2">
          <reference field="4294967294" count="1" selected="0">
            <x v="0"/>
          </reference>
          <reference field="6" count="1" selected="0">
            <x v="14"/>
          </reference>
        </references>
      </pivotArea>
    </chartFormat>
    <chartFormat chart="12" format="51">
      <pivotArea type="data" outline="0" fieldPosition="0">
        <references count="2">
          <reference field="4294967294" count="1" selected="0">
            <x v="0"/>
          </reference>
          <reference field="6" count="1" selected="0">
            <x v="9"/>
          </reference>
        </references>
      </pivotArea>
    </chartFormat>
    <chartFormat chart="12" format="52">
      <pivotArea type="data" outline="0" fieldPosition="0">
        <references count="2">
          <reference field="4294967294" count="1" selected="0">
            <x v="0"/>
          </reference>
          <reference field="6" count="1" selected="0">
            <x v="7"/>
          </reference>
        </references>
      </pivotArea>
    </chartFormat>
    <chartFormat chart="12" format="53">
      <pivotArea type="data" outline="0" fieldPosition="0">
        <references count="2">
          <reference field="4294967294" count="1" selected="0">
            <x v="0"/>
          </reference>
          <reference field="6" count="1" selected="0">
            <x v="6"/>
          </reference>
        </references>
      </pivotArea>
    </chartFormat>
    <chartFormat chart="12" format="54">
      <pivotArea type="data" outline="0" fieldPosition="0">
        <references count="2">
          <reference field="4294967294" count="1" selected="0">
            <x v="0"/>
          </reference>
          <reference field="6" count="1" selected="0">
            <x v="11"/>
          </reference>
        </references>
      </pivotArea>
    </chartFormat>
    <chartFormat chart="12" format="55">
      <pivotArea type="data" outline="0" fieldPosition="0">
        <references count="2">
          <reference field="4294967294" count="1" selected="0">
            <x v="0"/>
          </reference>
          <reference field="6" count="1" selected="0">
            <x v="12"/>
          </reference>
        </references>
      </pivotArea>
    </chartFormat>
    <chartFormat chart="12" format="56">
      <pivotArea type="data" outline="0" fieldPosition="0">
        <references count="2">
          <reference field="4294967294" count="1" selected="0">
            <x v="0"/>
          </reference>
          <reference field="6" count="1" selected="0">
            <x v="3"/>
          </reference>
        </references>
      </pivotArea>
    </chartFormat>
    <chartFormat chart="12" format="57">
      <pivotArea type="data" outline="0" fieldPosition="0">
        <references count="2">
          <reference field="4294967294" count="1" selected="0">
            <x v="0"/>
          </reference>
          <reference field="6" count="1" selected="0">
            <x v="13"/>
          </reference>
        </references>
      </pivotArea>
    </chartFormat>
    <chartFormat chart="12" format="58">
      <pivotArea type="data" outline="0" fieldPosition="0">
        <references count="2">
          <reference field="4294967294" count="1" selected="0">
            <x v="0"/>
          </reference>
          <reference field="6" count="1" selected="0">
            <x v="2"/>
          </reference>
        </references>
      </pivotArea>
    </chartFormat>
    <chartFormat chart="12" format="59">
      <pivotArea type="data" outline="0" fieldPosition="0">
        <references count="2">
          <reference field="4294967294" count="1" selected="0">
            <x v="0"/>
          </reference>
          <reference field="6" count="1" selected="0">
            <x v="8"/>
          </reference>
        </references>
      </pivotArea>
    </chartFormat>
    <chartFormat chart="12" format="60">
      <pivotArea type="data" outline="0" fieldPosition="0">
        <references count="2">
          <reference field="4294967294" count="1" selected="0">
            <x v="0"/>
          </reference>
          <reference field="6" count="1" selected="0">
            <x v="1"/>
          </reference>
        </references>
      </pivotArea>
    </chartFormat>
    <chartFormat chart="12" format="61">
      <pivotArea type="data" outline="0" fieldPosition="0">
        <references count="2">
          <reference field="4294967294" count="1" selected="0">
            <x v="0"/>
          </reference>
          <reference field="6" count="1" selected="0">
            <x v="5"/>
          </reference>
        </references>
      </pivotArea>
    </chartFormat>
    <chartFormat chart="12" format="62">
      <pivotArea type="data" outline="0" fieldPosition="0">
        <references count="2">
          <reference field="4294967294" count="1" selected="0">
            <x v="0"/>
          </reference>
          <reference field="6" count="1" selected="0">
            <x v="1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Name" xr10:uid="{6B1D9215-A62E-4366-A41B-C13783997427}" sourceName="Product_Name">
  <pivotTables>
    <pivotTable tabId="5" name="PivotTable4"/>
    <pivotTable tabId="5" name="PivotTable1"/>
    <pivotTable tabId="5" name="PivotTable2"/>
    <pivotTable tabId="5" name="PivotTable3"/>
    <pivotTable tabId="5" name="PivotTable5"/>
    <pivotTable tabId="5" name="PivotTable6"/>
    <pivotTable tabId="5" name="PivotTable7"/>
    <pivotTable tabId="5" name="PivotTable8"/>
    <pivotTable tabId="5" name="PivotTable9"/>
  </pivotTables>
  <data>
    <tabular pivotCacheId="1751450671">
      <items count="7">
        <i x="5" s="1"/>
        <i x="4" s="1"/>
        <i x="0" s="1"/>
        <i x="3" s="1"/>
        <i x="6" s="1"/>
        <i x="2"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2AB732D1-33FC-4E8B-BDE3-CAFB4F02703E}" sourceName="City">
  <pivotTables>
    <pivotTable tabId="5" name="PivotTable4"/>
    <pivotTable tabId="5" name="PivotTable1"/>
    <pivotTable tabId="5" name="PivotTable2"/>
    <pivotTable tabId="5" name="PivotTable3"/>
    <pivotTable tabId="5" name="PivotTable5"/>
    <pivotTable tabId="5" name="PivotTable6"/>
    <pivotTable tabId="5" name="PivotTable7"/>
    <pivotTable tabId="5" name="PivotTable8"/>
    <pivotTable tabId="5" name="PivotTable9"/>
  </pivotTables>
  <data>
    <tabular pivotCacheId="1751450671">
      <items count="9">
        <i x="3" s="1"/>
        <i x="6" s="1"/>
        <i x="5" s="1"/>
        <i x="7" s="1"/>
        <i x="2" s="1"/>
        <i x="8" s="1"/>
        <i x="1" s="1"/>
        <i x="0" s="1"/>
        <i x="4"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person" xr10:uid="{6BE09376-6375-49B0-9824-178AB069A154}" sourceName="Salesperson">
  <pivotTables>
    <pivotTable tabId="5" name="PivotTable8"/>
    <pivotTable tabId="5" name="PivotTable1"/>
    <pivotTable tabId="5" name="PivotTable2"/>
    <pivotTable tabId="5" name="PivotTable3"/>
    <pivotTable tabId="5" name="PivotTable4"/>
    <pivotTable tabId="5" name="PivotTable5"/>
    <pivotTable tabId="5" name="PivotTable6"/>
    <pivotTable tabId="5" name="PivotTable7"/>
    <pivotTable tabId="5" name="PivotTable9"/>
  </pivotTables>
  <data>
    <tabular pivotCacheId="1751450671">
      <items count="15">
        <i x="12" s="1"/>
        <i x="0" s="1"/>
        <i x="2" s="1"/>
        <i x="3" s="1"/>
        <i x="9" s="1"/>
        <i x="8" s="1"/>
        <i x="7" s="1"/>
        <i x="13" s="1"/>
        <i x="6" s="1"/>
        <i x="10" s="1"/>
        <i x="4" s="1"/>
        <i x="11" s="1"/>
        <i x="14" s="1"/>
        <i x="1" s="1"/>
        <i x="5"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BE8DA154-3609-4203-BB12-6FE327FD39C6}" sourceName="Category">
  <pivotTables>
    <pivotTable tabId="5" name="PivotTable9"/>
    <pivotTable tabId="5" name="PivotTable1"/>
    <pivotTable tabId="5" name="PivotTable2"/>
    <pivotTable tabId="5" name="PivotTable3"/>
    <pivotTable tabId="5" name="PivotTable4"/>
    <pivotTable tabId="5" name="PivotTable5"/>
    <pivotTable tabId="5" name="PivotTable6"/>
    <pivotTable tabId="5" name="PivotTable7"/>
    <pivotTable tabId="5" name="PivotTable8"/>
  </pivotTables>
  <data>
    <tabular pivotCacheId="1751450671">
      <items count="3">
        <i x="2" s="1"/>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_Name" xr10:uid="{19BA6914-4E20-434F-8100-A4F0AC170347}" cache="Slicer_Product_Name" caption="Product_Name" rowHeight="251883"/>
  <slicer name="City" xr10:uid="{F97ABE24-0ACE-4250-BFAF-1994FC7C51B9}" cache="Slicer_City" caption="City" rowHeight="251883"/>
  <slicer name="Salesperson" xr10:uid="{4E46ACF7-1204-4559-8FFF-25341EA4F507}" cache="Slicer_Salesperson" caption="Salesperson" rowHeight="251883"/>
  <slicer name="Category" xr10:uid="{EBCBB4DB-9E69-4B4C-B464-ABF267527AFE}" cache="Slicer_Category" caption="Category" columnCount="3" rowHeight="251883"/>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C3E9BBC-FAF4-4C99-A893-87BD851B45C9}" name="Table1" displayName="Table1" ref="A1:M102" totalsRowCount="1">
  <autoFilter ref="A1:M101" xr:uid="{3C3E9BBC-FAF4-4C99-A893-87BD851B45C9}">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autoFilter>
  <tableColumns count="13">
    <tableColumn id="1" xr3:uid="{0C207FBB-C7D5-4330-8FE6-6EF02D7AD266}" name="Order_ID" totalsRowLabel="Total"/>
    <tableColumn id="2" xr3:uid="{4A0F48E9-2C25-462B-90FE-EFDAB27ED129}" name="Order_Date" dataDxfId="66"/>
    <tableColumn id="3" xr3:uid="{DB503044-0429-4A72-9C52-E75E53A24905}" name="Year"/>
    <tableColumn id="4" xr3:uid="{61BC5680-217C-4310-AAAE-238117483DA5}" name="Month"/>
    <tableColumn id="5" xr3:uid="{05649A89-CDBF-4F47-9EA0-A0339EABC645}" name="Country"/>
    <tableColumn id="6" xr3:uid="{7FE449C0-B20A-43BE-A2EE-13718150CD6C}" name="City"/>
    <tableColumn id="7" xr3:uid="{CEC73EE5-B021-46BC-877C-6A3F57873FEF}" name="Salesperson"/>
    <tableColumn id="8" xr3:uid="{1C63EC55-4212-4A91-95FA-2119452E3549}" name="Product_Name"/>
    <tableColumn id="9" xr3:uid="{11C421B0-462F-4CF1-ADDB-A87257F816B6}" name="Category"/>
    <tableColumn id="10" xr3:uid="{1E68B09D-ACD9-4FD8-8508-B8A0120177AE}" name="Quantity" totalsRowFunction="sum"/>
    <tableColumn id="11" xr3:uid="{ECBB43FD-D663-4613-9AAB-4B26C855D848}" name="Unit_Price" dataDxfId="65" dataCellStyle="Currency"/>
    <tableColumn id="12" xr3:uid="{1A592A91-1B4B-4AD3-9DDA-F03DE0B7E90D}" name="Cost_Price"/>
    <tableColumn id="13" xr3:uid="{07481052-FEF5-4F76-9122-D6BE9122BD2D}" name="Total Sales" totalsRowFunction="sum" dataDxfId="64" totalsRowDxfId="63">
      <calculatedColumnFormula>Table1[[#This Row],[Quantity]]*Table1[[#This Row],[Unit_Price]]</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openxmlformats.org/officeDocument/2006/relationships/drawing" Target="../drawings/drawing1.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3.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043356-6F47-475C-8C12-06E85471FAB2}">
  <sheetPr codeName="Sheet1"/>
  <dimension ref="A3:X34"/>
  <sheetViews>
    <sheetView topLeftCell="A5" zoomScaleNormal="100" workbookViewId="0">
      <selection activeCell="G21" sqref="G21"/>
    </sheetView>
  </sheetViews>
  <sheetFormatPr defaultRowHeight="14.5" x14ac:dyDescent="0.35"/>
  <cols>
    <col min="1" max="1" width="18" bestFit="1" customWidth="1"/>
    <col min="2" max="2" width="18.08984375" bestFit="1" customWidth="1"/>
    <col min="4" max="4" width="12.36328125" bestFit="1" customWidth="1"/>
    <col min="5" max="5" width="18.08984375" bestFit="1" customWidth="1"/>
    <col min="7" max="7" width="12.36328125" bestFit="1" customWidth="1"/>
    <col min="8" max="8" width="18.08984375" bestFit="1" customWidth="1"/>
    <col min="11" max="11" width="12.36328125" bestFit="1" customWidth="1"/>
    <col min="12" max="13" width="18.08984375" bestFit="1" customWidth="1"/>
    <col min="23" max="23" width="12.36328125" bestFit="1" customWidth="1"/>
    <col min="24" max="24" width="18.08984375" bestFit="1" customWidth="1"/>
    <col min="32" max="33" width="18.08984375" bestFit="1" customWidth="1"/>
  </cols>
  <sheetData>
    <row r="3" spans="1:24" ht="15.5" x14ac:dyDescent="0.35">
      <c r="A3" s="7" t="s">
        <v>11</v>
      </c>
      <c r="B3" s="7" t="s">
        <v>164</v>
      </c>
      <c r="D3" s="7" t="s">
        <v>5</v>
      </c>
      <c r="E3" s="7" t="s">
        <v>164</v>
      </c>
      <c r="G3" s="7" t="s">
        <v>3</v>
      </c>
      <c r="H3" s="7" t="s">
        <v>164</v>
      </c>
      <c r="W3" s="4" t="s">
        <v>13</v>
      </c>
      <c r="X3" s="5" t="s">
        <v>164</v>
      </c>
    </row>
    <row r="4" spans="1:24" ht="15.5" x14ac:dyDescent="0.35">
      <c r="A4" s="5" t="s">
        <v>12</v>
      </c>
      <c r="B4" s="6">
        <v>108000</v>
      </c>
      <c r="D4" s="5" t="s">
        <v>6</v>
      </c>
      <c r="E4" s="6">
        <v>161645</v>
      </c>
      <c r="G4" s="5" t="s">
        <v>36</v>
      </c>
      <c r="H4" s="6">
        <v>76120</v>
      </c>
      <c r="W4" s="5" t="s">
        <v>20</v>
      </c>
      <c r="X4" s="6">
        <v>14260</v>
      </c>
    </row>
    <row r="5" spans="1:24" ht="15.5" x14ac:dyDescent="0.35">
      <c r="A5" s="5" t="s">
        <v>60</v>
      </c>
      <c r="B5" s="6">
        <v>75600</v>
      </c>
      <c r="D5" s="5" t="s">
        <v>47</v>
      </c>
      <c r="E5" s="6">
        <v>54825</v>
      </c>
      <c r="G5" s="5" t="s">
        <v>34</v>
      </c>
      <c r="H5" s="6">
        <v>24680</v>
      </c>
      <c r="W5" s="5" t="s">
        <v>14</v>
      </c>
      <c r="X5" s="6">
        <v>256050</v>
      </c>
    </row>
    <row r="6" spans="1:24" ht="15.5" x14ac:dyDescent="0.35">
      <c r="A6" s="5" t="s">
        <v>67</v>
      </c>
      <c r="B6" s="6">
        <v>40950</v>
      </c>
      <c r="D6" s="5" t="s">
        <v>41</v>
      </c>
      <c r="E6" s="6">
        <v>39275</v>
      </c>
      <c r="G6" s="5" t="s">
        <v>32</v>
      </c>
      <c r="H6" s="6">
        <v>21810</v>
      </c>
      <c r="W6" s="5" t="s">
        <v>62</v>
      </c>
      <c r="X6" s="6">
        <v>24360</v>
      </c>
    </row>
    <row r="7" spans="1:24" ht="15.5" x14ac:dyDescent="0.35">
      <c r="A7" s="5" t="s">
        <v>24</v>
      </c>
      <c r="B7" s="6">
        <v>31500</v>
      </c>
      <c r="D7" s="5" t="s">
        <v>52</v>
      </c>
      <c r="E7" s="6">
        <v>38925</v>
      </c>
      <c r="G7" s="5" t="s">
        <v>29</v>
      </c>
      <c r="H7" s="6">
        <v>20970</v>
      </c>
      <c r="W7" s="5" t="s">
        <v>163</v>
      </c>
      <c r="X7" s="6">
        <v>294670</v>
      </c>
    </row>
    <row r="8" spans="1:24" ht="15.5" x14ac:dyDescent="0.35">
      <c r="A8" s="5" t="s">
        <v>26</v>
      </c>
      <c r="B8" s="6">
        <v>24360</v>
      </c>
      <c r="D8" s="5" t="s">
        <v>163</v>
      </c>
      <c r="E8" s="6">
        <v>294670</v>
      </c>
      <c r="G8" s="5" t="s">
        <v>35</v>
      </c>
      <c r="H8" s="6">
        <v>20885</v>
      </c>
    </row>
    <row r="9" spans="1:24" ht="15.5" x14ac:dyDescent="0.35">
      <c r="A9" s="5" t="s">
        <v>23</v>
      </c>
      <c r="B9" s="6">
        <v>8910</v>
      </c>
      <c r="G9" s="5" t="s">
        <v>33</v>
      </c>
      <c r="H9" s="6">
        <v>20725</v>
      </c>
    </row>
    <row r="10" spans="1:24" ht="15.5" x14ac:dyDescent="0.35">
      <c r="A10" s="5" t="s">
        <v>19</v>
      </c>
      <c r="B10" s="6">
        <v>5350</v>
      </c>
      <c r="G10" s="5" t="s">
        <v>31</v>
      </c>
      <c r="H10" s="6">
        <v>19960</v>
      </c>
    </row>
    <row r="11" spans="1:24" ht="15.5" x14ac:dyDescent="0.35">
      <c r="A11" s="5" t="s">
        <v>163</v>
      </c>
      <c r="B11" s="6">
        <v>294670</v>
      </c>
      <c r="E11" s="10" t="s">
        <v>164</v>
      </c>
      <c r="G11" s="5" t="s">
        <v>30</v>
      </c>
      <c r="H11" s="6">
        <v>19065</v>
      </c>
    </row>
    <row r="12" spans="1:24" ht="15.5" x14ac:dyDescent="0.35">
      <c r="E12" s="8">
        <v>294670</v>
      </c>
      <c r="F12" s="9"/>
      <c r="G12" s="5" t="s">
        <v>28</v>
      </c>
      <c r="H12" s="6">
        <v>19000</v>
      </c>
    </row>
    <row r="13" spans="1:24" ht="15.5" x14ac:dyDescent="0.35">
      <c r="G13" s="5" t="s">
        <v>4</v>
      </c>
      <c r="H13" s="6">
        <v>17930</v>
      </c>
    </row>
    <row r="14" spans="1:24" ht="15.5" x14ac:dyDescent="0.35">
      <c r="G14" s="5" t="s">
        <v>27</v>
      </c>
      <c r="H14" s="6">
        <v>17200</v>
      </c>
    </row>
    <row r="15" spans="1:24" ht="15.5" x14ac:dyDescent="0.35">
      <c r="G15" s="5" t="s">
        <v>25</v>
      </c>
      <c r="H15" s="6">
        <v>16325</v>
      </c>
    </row>
    <row r="16" spans="1:24" ht="15.5" x14ac:dyDescent="0.35">
      <c r="G16" s="5" t="s">
        <v>163</v>
      </c>
      <c r="H16" s="6">
        <v>294670</v>
      </c>
    </row>
    <row r="18" spans="1:24" ht="15.5" x14ac:dyDescent="0.35">
      <c r="A18" s="7" t="s">
        <v>9</v>
      </c>
      <c r="B18" s="7" t="s">
        <v>164</v>
      </c>
      <c r="D18" s="7" t="s">
        <v>7</v>
      </c>
      <c r="E18" s="7" t="s">
        <v>164</v>
      </c>
      <c r="U18">
        <v>4</v>
      </c>
    </row>
    <row r="19" spans="1:24" ht="15.5" x14ac:dyDescent="0.35">
      <c r="A19" s="5" t="s">
        <v>22</v>
      </c>
      <c r="B19" s="6">
        <v>51400</v>
      </c>
      <c r="D19" s="5" t="s">
        <v>48</v>
      </c>
      <c r="E19" s="6">
        <v>54825</v>
      </c>
      <c r="G19" s="7" t="s">
        <v>13</v>
      </c>
      <c r="H19" s="7" t="s">
        <v>164</v>
      </c>
      <c r="W19" s="4" t="s">
        <v>3</v>
      </c>
      <c r="X19" s="5" t="s">
        <v>164</v>
      </c>
    </row>
    <row r="20" spans="1:24" ht="15.5" x14ac:dyDescent="0.35">
      <c r="A20" s="5" t="s">
        <v>38</v>
      </c>
      <c r="B20" s="6">
        <v>39390</v>
      </c>
      <c r="D20" s="5" t="s">
        <v>8</v>
      </c>
      <c r="E20" s="6">
        <v>49835</v>
      </c>
      <c r="G20" s="5" t="s">
        <v>14</v>
      </c>
      <c r="H20" s="6">
        <v>256050</v>
      </c>
      <c r="W20" s="5" t="s">
        <v>4</v>
      </c>
      <c r="X20" s="6">
        <v>17930</v>
      </c>
    </row>
    <row r="21" spans="1:24" ht="15.5" x14ac:dyDescent="0.35">
      <c r="A21" s="5" t="s">
        <v>10</v>
      </c>
      <c r="B21" s="6">
        <v>36845</v>
      </c>
      <c r="D21" s="5" t="s">
        <v>42</v>
      </c>
      <c r="E21" s="6">
        <v>39275</v>
      </c>
      <c r="G21" s="5" t="s">
        <v>62</v>
      </c>
      <c r="H21" s="6">
        <v>24360</v>
      </c>
      <c r="W21" s="5" t="s">
        <v>25</v>
      </c>
      <c r="X21" s="6">
        <v>16325</v>
      </c>
    </row>
    <row r="22" spans="1:24" ht="15.5" x14ac:dyDescent="0.35">
      <c r="A22" s="5" t="s">
        <v>40</v>
      </c>
      <c r="B22" s="6">
        <v>34010</v>
      </c>
      <c r="D22" s="5" t="s">
        <v>53</v>
      </c>
      <c r="E22" s="6">
        <v>38925</v>
      </c>
      <c r="G22" s="5" t="s">
        <v>20</v>
      </c>
      <c r="H22" s="6">
        <v>14260</v>
      </c>
      <c r="W22" s="5" t="s">
        <v>27</v>
      </c>
      <c r="X22" s="6">
        <v>17200</v>
      </c>
    </row>
    <row r="23" spans="1:24" ht="15.5" x14ac:dyDescent="0.35">
      <c r="A23" s="5" t="s">
        <v>50</v>
      </c>
      <c r="B23" s="6">
        <v>23800</v>
      </c>
      <c r="D23" s="5" t="s">
        <v>39</v>
      </c>
      <c r="E23" s="6">
        <v>32150</v>
      </c>
      <c r="G23" s="5" t="s">
        <v>163</v>
      </c>
      <c r="H23" s="6">
        <v>294670</v>
      </c>
      <c r="W23" s="5" t="s">
        <v>28</v>
      </c>
      <c r="X23" s="6">
        <v>19000</v>
      </c>
    </row>
    <row r="24" spans="1:24" ht="15.5" x14ac:dyDescent="0.35">
      <c r="A24" s="5" t="s">
        <v>49</v>
      </c>
      <c r="B24" s="6">
        <v>19705</v>
      </c>
      <c r="D24" s="5" t="s">
        <v>21</v>
      </c>
      <c r="E24" s="6">
        <v>24565</v>
      </c>
      <c r="W24" s="5" t="s">
        <v>29</v>
      </c>
      <c r="X24" s="6">
        <v>20970</v>
      </c>
    </row>
    <row r="25" spans="1:24" ht="15.5" x14ac:dyDescent="0.35">
      <c r="A25" s="5" t="s">
        <v>43</v>
      </c>
      <c r="B25" s="6">
        <v>13770</v>
      </c>
      <c r="D25" s="5" t="s">
        <v>37</v>
      </c>
      <c r="E25" s="6">
        <v>21735</v>
      </c>
      <c r="W25" s="5" t="s">
        <v>30</v>
      </c>
      <c r="X25" s="6">
        <v>19065</v>
      </c>
    </row>
    <row r="26" spans="1:24" ht="15.5" x14ac:dyDescent="0.35">
      <c r="A26" s="5" t="s">
        <v>46</v>
      </c>
      <c r="B26" s="6">
        <v>12160</v>
      </c>
      <c r="D26" s="5" t="s">
        <v>18</v>
      </c>
      <c r="E26" s="6">
        <v>20990</v>
      </c>
      <c r="W26" s="5" t="s">
        <v>31</v>
      </c>
      <c r="X26" s="6">
        <v>19960</v>
      </c>
    </row>
    <row r="27" spans="1:24" ht="15.5" x14ac:dyDescent="0.35">
      <c r="A27" s="5" t="s">
        <v>57</v>
      </c>
      <c r="B27" s="6">
        <v>12100</v>
      </c>
      <c r="D27" s="5" t="s">
        <v>70</v>
      </c>
      <c r="E27" s="6">
        <v>12370</v>
      </c>
      <c r="W27" s="5" t="s">
        <v>32</v>
      </c>
      <c r="X27" s="6">
        <v>21810</v>
      </c>
    </row>
    <row r="28" spans="1:24" ht="15.5" x14ac:dyDescent="0.35">
      <c r="A28" s="5" t="s">
        <v>51</v>
      </c>
      <c r="B28" s="6">
        <v>11320</v>
      </c>
      <c r="D28" s="5" t="s">
        <v>163</v>
      </c>
      <c r="E28" s="6">
        <v>294670</v>
      </c>
      <c r="W28" s="5" t="s">
        <v>33</v>
      </c>
      <c r="X28" s="6">
        <v>20725</v>
      </c>
    </row>
    <row r="29" spans="1:24" ht="15.5" x14ac:dyDescent="0.35">
      <c r="A29" s="5" t="s">
        <v>44</v>
      </c>
      <c r="B29" s="6">
        <v>11230</v>
      </c>
      <c r="W29" s="5" t="s">
        <v>34</v>
      </c>
      <c r="X29" s="6">
        <v>24680</v>
      </c>
    </row>
    <row r="30" spans="1:24" ht="15.5" x14ac:dyDescent="0.35">
      <c r="A30" s="5" t="s">
        <v>56</v>
      </c>
      <c r="B30" s="6">
        <v>10925</v>
      </c>
      <c r="W30" s="5" t="s">
        <v>35</v>
      </c>
      <c r="X30" s="6">
        <v>20885</v>
      </c>
    </row>
    <row r="31" spans="1:24" ht="15.5" x14ac:dyDescent="0.35">
      <c r="A31" s="5" t="s">
        <v>54</v>
      </c>
      <c r="B31" s="6">
        <v>10890</v>
      </c>
      <c r="W31" s="5" t="s">
        <v>36</v>
      </c>
      <c r="X31" s="6">
        <v>76120</v>
      </c>
    </row>
    <row r="32" spans="1:24" ht="15.5" x14ac:dyDescent="0.35">
      <c r="A32" s="5" t="s">
        <v>55</v>
      </c>
      <c r="B32" s="6">
        <v>5010</v>
      </c>
      <c r="W32" s="5" t="s">
        <v>163</v>
      </c>
      <c r="X32" s="6">
        <v>294670</v>
      </c>
    </row>
    <row r="33" spans="1:2" ht="15.5" x14ac:dyDescent="0.35">
      <c r="A33" s="5" t="s">
        <v>45</v>
      </c>
      <c r="B33" s="6">
        <v>2115</v>
      </c>
    </row>
    <row r="34" spans="1:2" ht="15.5" x14ac:dyDescent="0.35">
      <c r="A34" s="5" t="s">
        <v>163</v>
      </c>
      <c r="B34" s="6">
        <v>294670</v>
      </c>
    </row>
  </sheetData>
  <pageMargins left="0.7" right="0.7" top="0.75" bottom="0.75" header="0.3" footer="0.3"/>
  <drawing r:id="rId1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7AA9E9-99C1-43A9-A1F6-2EBDAC444855}">
  <sheetPr codeName="Sheet2"/>
  <dimension ref="A1"/>
  <sheetViews>
    <sheetView showGridLines="0" tabSelected="1" workbookViewId="0">
      <selection activeCell="O2" sqref="O2"/>
    </sheetView>
  </sheetViews>
  <sheetFormatPr defaultRowHeight="14.5" x14ac:dyDescent="0.35"/>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98C519-7659-4959-B3AB-D479D4521340}">
  <sheetPr codeName="Sheet3"/>
  <dimension ref="A1:M102"/>
  <sheetViews>
    <sheetView topLeftCell="A2" workbookViewId="0">
      <selection activeCell="F9" sqref="F9"/>
    </sheetView>
  </sheetViews>
  <sheetFormatPr defaultRowHeight="14.5" x14ac:dyDescent="0.35"/>
  <cols>
    <col min="1" max="1" width="10.08984375" customWidth="1"/>
    <col min="2" max="2" width="13.1796875" customWidth="1"/>
    <col min="3" max="3" width="8.7265625" customWidth="1"/>
    <col min="4" max="4" width="9.54296875" customWidth="1"/>
    <col min="5" max="5" width="9.81640625" customWidth="1"/>
    <col min="6" max="6" width="13.26953125" customWidth="1"/>
    <col min="7" max="7" width="17.08984375" customWidth="1"/>
    <col min="8" max="8" width="17.36328125" customWidth="1"/>
    <col min="9" max="9" width="14.453125" customWidth="1"/>
    <col min="10" max="10" width="10" customWidth="1"/>
    <col min="11" max="11" width="11.453125" customWidth="1"/>
    <col min="12" max="12" width="11.7265625" customWidth="1"/>
    <col min="13" max="13" width="11.81640625" customWidth="1"/>
  </cols>
  <sheetData>
    <row r="1" spans="1:13" x14ac:dyDescent="0.35">
      <c r="A1" t="s">
        <v>0</v>
      </c>
      <c r="B1" t="s">
        <v>1</v>
      </c>
      <c r="C1" t="s">
        <v>2</v>
      </c>
      <c r="D1" t="s">
        <v>3</v>
      </c>
      <c r="E1" t="s">
        <v>5</v>
      </c>
      <c r="F1" t="s">
        <v>7</v>
      </c>
      <c r="G1" t="s">
        <v>9</v>
      </c>
      <c r="H1" t="s">
        <v>11</v>
      </c>
      <c r="I1" t="s">
        <v>13</v>
      </c>
      <c r="J1" t="s">
        <v>15</v>
      </c>
      <c r="K1" t="s">
        <v>16</v>
      </c>
      <c r="L1" t="s">
        <v>17</v>
      </c>
      <c r="M1" t="s">
        <v>162</v>
      </c>
    </row>
    <row r="2" spans="1:13" x14ac:dyDescent="0.35">
      <c r="A2" t="s">
        <v>58</v>
      </c>
      <c r="B2" s="1">
        <v>46027</v>
      </c>
      <c r="C2">
        <v>2026</v>
      </c>
      <c r="D2" t="s">
        <v>4</v>
      </c>
      <c r="E2" t="s">
        <v>6</v>
      </c>
      <c r="F2" t="s">
        <v>8</v>
      </c>
      <c r="G2" t="s">
        <v>10</v>
      </c>
      <c r="H2" t="s">
        <v>12</v>
      </c>
      <c r="I2" t="s">
        <v>14</v>
      </c>
      <c r="J2">
        <v>5</v>
      </c>
      <c r="K2" s="2">
        <v>750</v>
      </c>
      <c r="L2">
        <v>600</v>
      </c>
      <c r="M2" s="3">
        <f>Table1[[#This Row],[Quantity]]*Table1[[#This Row],[Unit_Price]]</f>
        <v>3750</v>
      </c>
    </row>
    <row r="3" spans="1:13" x14ac:dyDescent="0.35">
      <c r="A3" t="s">
        <v>59</v>
      </c>
      <c r="B3" s="1">
        <v>46030</v>
      </c>
      <c r="C3">
        <v>2026</v>
      </c>
      <c r="D3" t="s">
        <v>4</v>
      </c>
      <c r="E3" t="s">
        <v>6</v>
      </c>
      <c r="F3" t="s">
        <v>21</v>
      </c>
      <c r="G3" t="s">
        <v>22</v>
      </c>
      <c r="H3" t="s">
        <v>60</v>
      </c>
      <c r="I3" t="s">
        <v>14</v>
      </c>
      <c r="J3">
        <v>8</v>
      </c>
      <c r="K3" s="2">
        <v>450</v>
      </c>
      <c r="L3">
        <v>350</v>
      </c>
      <c r="M3" s="3">
        <f>Table1[[#This Row],[Quantity]]*Table1[[#This Row],[Unit_Price]]</f>
        <v>3600</v>
      </c>
    </row>
    <row r="4" spans="1:13" x14ac:dyDescent="0.35">
      <c r="A4" t="s">
        <v>61</v>
      </c>
      <c r="B4" s="1">
        <v>46034</v>
      </c>
      <c r="C4">
        <v>2026</v>
      </c>
      <c r="D4" t="s">
        <v>4</v>
      </c>
      <c r="E4" t="s">
        <v>6</v>
      </c>
      <c r="F4" t="s">
        <v>37</v>
      </c>
      <c r="G4" t="s">
        <v>38</v>
      </c>
      <c r="H4" t="s">
        <v>26</v>
      </c>
      <c r="I4" t="s">
        <v>62</v>
      </c>
      <c r="J4">
        <v>3</v>
      </c>
      <c r="K4" s="2">
        <v>280</v>
      </c>
      <c r="L4">
        <v>210</v>
      </c>
      <c r="M4" s="3">
        <f>Table1[[#This Row],[Quantity]]*Table1[[#This Row],[Unit_Price]]</f>
        <v>840</v>
      </c>
    </row>
    <row r="5" spans="1:13" x14ac:dyDescent="0.35">
      <c r="A5" t="s">
        <v>63</v>
      </c>
      <c r="B5" s="1">
        <v>46038</v>
      </c>
      <c r="C5">
        <v>2026</v>
      </c>
      <c r="D5" t="s">
        <v>4</v>
      </c>
      <c r="E5" t="s">
        <v>41</v>
      </c>
      <c r="F5" t="s">
        <v>42</v>
      </c>
      <c r="G5" t="s">
        <v>43</v>
      </c>
      <c r="H5" t="s">
        <v>12</v>
      </c>
      <c r="I5" t="s">
        <v>14</v>
      </c>
      <c r="J5">
        <v>6</v>
      </c>
      <c r="K5" s="2">
        <v>750</v>
      </c>
      <c r="L5">
        <v>600</v>
      </c>
      <c r="M5" s="3">
        <f>Table1[[#This Row],[Quantity]]*Table1[[#This Row],[Unit_Price]]</f>
        <v>4500</v>
      </c>
    </row>
    <row r="6" spans="1:13" x14ac:dyDescent="0.35">
      <c r="A6" t="s">
        <v>64</v>
      </c>
      <c r="B6" s="1">
        <v>46042</v>
      </c>
      <c r="C6">
        <v>2026</v>
      </c>
      <c r="D6" t="s">
        <v>4</v>
      </c>
      <c r="E6" t="s">
        <v>47</v>
      </c>
      <c r="F6" t="s">
        <v>48</v>
      </c>
      <c r="G6" t="s">
        <v>49</v>
      </c>
      <c r="H6" t="s">
        <v>24</v>
      </c>
      <c r="I6" t="s">
        <v>14</v>
      </c>
      <c r="J6">
        <v>7</v>
      </c>
      <c r="K6" s="2">
        <v>300</v>
      </c>
      <c r="L6">
        <v>220</v>
      </c>
      <c r="M6" s="3">
        <f>Table1[[#This Row],[Quantity]]*Table1[[#This Row],[Unit_Price]]</f>
        <v>2100</v>
      </c>
    </row>
    <row r="7" spans="1:13" x14ac:dyDescent="0.35">
      <c r="A7" t="s">
        <v>65</v>
      </c>
      <c r="B7" s="1">
        <v>46046</v>
      </c>
      <c r="C7">
        <v>2026</v>
      </c>
      <c r="D7" t="s">
        <v>4</v>
      </c>
      <c r="E7" t="s">
        <v>52</v>
      </c>
      <c r="F7" t="s">
        <v>53</v>
      </c>
      <c r="G7" t="s">
        <v>54</v>
      </c>
      <c r="H7" t="s">
        <v>23</v>
      </c>
      <c r="I7" t="s">
        <v>20</v>
      </c>
      <c r="J7">
        <v>12</v>
      </c>
      <c r="K7" s="2">
        <v>45</v>
      </c>
      <c r="L7">
        <v>30</v>
      </c>
      <c r="M7" s="3">
        <f>Table1[[#This Row],[Quantity]]*Table1[[#This Row],[Unit_Price]]</f>
        <v>540</v>
      </c>
    </row>
    <row r="8" spans="1:13" x14ac:dyDescent="0.35">
      <c r="A8" t="s">
        <v>66</v>
      </c>
      <c r="B8" s="1">
        <v>46050</v>
      </c>
      <c r="C8">
        <v>2026</v>
      </c>
      <c r="D8" t="s">
        <v>4</v>
      </c>
      <c r="E8" t="s">
        <v>6</v>
      </c>
      <c r="F8" t="s">
        <v>39</v>
      </c>
      <c r="G8" t="s">
        <v>40</v>
      </c>
      <c r="H8" t="s">
        <v>67</v>
      </c>
      <c r="I8" t="s">
        <v>14</v>
      </c>
      <c r="J8">
        <v>4</v>
      </c>
      <c r="K8" s="2">
        <v>650</v>
      </c>
      <c r="L8">
        <v>500</v>
      </c>
      <c r="M8" s="3">
        <f>Table1[[#This Row],[Quantity]]*Table1[[#This Row],[Unit_Price]]</f>
        <v>2600</v>
      </c>
    </row>
    <row r="9" spans="1:13" x14ac:dyDescent="0.35">
      <c r="A9" t="s">
        <v>68</v>
      </c>
      <c r="B9" s="1">
        <v>46056</v>
      </c>
      <c r="C9">
        <v>2026</v>
      </c>
      <c r="D9" t="s">
        <v>25</v>
      </c>
      <c r="E9" t="s">
        <v>6</v>
      </c>
      <c r="F9" t="s">
        <v>8</v>
      </c>
      <c r="G9" t="s">
        <v>10</v>
      </c>
      <c r="H9" t="s">
        <v>19</v>
      </c>
      <c r="I9" t="s">
        <v>20</v>
      </c>
      <c r="J9">
        <v>15</v>
      </c>
      <c r="K9" s="2">
        <v>25</v>
      </c>
      <c r="L9">
        <v>15</v>
      </c>
      <c r="M9" s="3">
        <f>Table1[[#This Row],[Quantity]]*Table1[[#This Row],[Unit_Price]]</f>
        <v>375</v>
      </c>
    </row>
    <row r="10" spans="1:13" x14ac:dyDescent="0.35">
      <c r="A10" t="s">
        <v>69</v>
      </c>
      <c r="B10" s="1">
        <v>46060</v>
      </c>
      <c r="C10">
        <v>2026</v>
      </c>
      <c r="D10" t="s">
        <v>25</v>
      </c>
      <c r="E10" t="s">
        <v>6</v>
      </c>
      <c r="F10" t="s">
        <v>70</v>
      </c>
      <c r="G10" t="s">
        <v>22</v>
      </c>
      <c r="H10" t="s">
        <v>12</v>
      </c>
      <c r="I10" t="s">
        <v>14</v>
      </c>
      <c r="J10">
        <v>4</v>
      </c>
      <c r="K10" s="2">
        <v>750</v>
      </c>
      <c r="L10">
        <v>600</v>
      </c>
      <c r="M10" s="3">
        <f>Table1[[#This Row],[Quantity]]*Table1[[#This Row],[Unit_Price]]</f>
        <v>3000</v>
      </c>
    </row>
    <row r="11" spans="1:13" x14ac:dyDescent="0.35">
      <c r="A11" t="s">
        <v>71</v>
      </c>
      <c r="B11" s="1">
        <v>46064</v>
      </c>
      <c r="C11">
        <v>2026</v>
      </c>
      <c r="D11" t="s">
        <v>25</v>
      </c>
      <c r="E11" t="s">
        <v>41</v>
      </c>
      <c r="F11" t="s">
        <v>42</v>
      </c>
      <c r="G11" t="s">
        <v>44</v>
      </c>
      <c r="H11" t="s">
        <v>26</v>
      </c>
      <c r="I11" t="s">
        <v>62</v>
      </c>
      <c r="J11">
        <v>5</v>
      </c>
      <c r="K11" s="2">
        <v>280</v>
      </c>
      <c r="L11">
        <v>210</v>
      </c>
      <c r="M11" s="3">
        <f>Table1[[#This Row],[Quantity]]*Table1[[#This Row],[Unit_Price]]</f>
        <v>1400</v>
      </c>
    </row>
    <row r="12" spans="1:13" x14ac:dyDescent="0.35">
      <c r="A12" t="s">
        <v>72</v>
      </c>
      <c r="B12" s="1">
        <v>46068</v>
      </c>
      <c r="C12">
        <v>2026</v>
      </c>
      <c r="D12" t="s">
        <v>25</v>
      </c>
      <c r="E12" t="s">
        <v>47</v>
      </c>
      <c r="F12" t="s">
        <v>48</v>
      </c>
      <c r="G12" t="s">
        <v>50</v>
      </c>
      <c r="H12" t="s">
        <v>60</v>
      </c>
      <c r="I12" t="s">
        <v>14</v>
      </c>
      <c r="J12">
        <v>9</v>
      </c>
      <c r="K12" s="2">
        <v>450</v>
      </c>
      <c r="L12">
        <v>350</v>
      </c>
      <c r="M12" s="3">
        <f>Table1[[#This Row],[Quantity]]*Table1[[#This Row],[Unit_Price]]</f>
        <v>4050</v>
      </c>
    </row>
    <row r="13" spans="1:13" x14ac:dyDescent="0.35">
      <c r="A13" t="s">
        <v>73</v>
      </c>
      <c r="B13" s="1">
        <v>46072</v>
      </c>
      <c r="C13">
        <v>2026</v>
      </c>
      <c r="D13" t="s">
        <v>25</v>
      </c>
      <c r="E13" t="s">
        <v>52</v>
      </c>
      <c r="F13" t="s">
        <v>53</v>
      </c>
      <c r="G13" t="s">
        <v>55</v>
      </c>
      <c r="H13" t="s">
        <v>24</v>
      </c>
      <c r="I13" t="s">
        <v>14</v>
      </c>
      <c r="J13">
        <v>6</v>
      </c>
      <c r="K13" s="2">
        <v>300</v>
      </c>
      <c r="L13">
        <v>220</v>
      </c>
      <c r="M13" s="3">
        <f>Table1[[#This Row],[Quantity]]*Table1[[#This Row],[Unit_Price]]</f>
        <v>1800</v>
      </c>
    </row>
    <row r="14" spans="1:13" x14ac:dyDescent="0.35">
      <c r="A14" t="s">
        <v>74</v>
      </c>
      <c r="B14" s="1">
        <v>46076</v>
      </c>
      <c r="C14">
        <v>2026</v>
      </c>
      <c r="D14" t="s">
        <v>25</v>
      </c>
      <c r="E14" t="s">
        <v>6</v>
      </c>
      <c r="F14" t="s">
        <v>18</v>
      </c>
      <c r="G14" t="s">
        <v>10</v>
      </c>
      <c r="H14" t="s">
        <v>23</v>
      </c>
      <c r="I14" t="s">
        <v>20</v>
      </c>
      <c r="J14">
        <v>10</v>
      </c>
      <c r="K14" s="2">
        <v>45</v>
      </c>
      <c r="L14">
        <v>30</v>
      </c>
      <c r="M14" s="3">
        <f>Table1[[#This Row],[Quantity]]*Table1[[#This Row],[Unit_Price]]</f>
        <v>450</v>
      </c>
    </row>
    <row r="15" spans="1:13" x14ac:dyDescent="0.35">
      <c r="A15" t="s">
        <v>75</v>
      </c>
      <c r="B15" s="1">
        <v>46080</v>
      </c>
      <c r="C15">
        <v>2026</v>
      </c>
      <c r="D15" t="s">
        <v>25</v>
      </c>
      <c r="E15" t="s">
        <v>6</v>
      </c>
      <c r="F15" t="s">
        <v>8</v>
      </c>
      <c r="G15" t="s">
        <v>38</v>
      </c>
      <c r="H15" t="s">
        <v>12</v>
      </c>
      <c r="I15" t="s">
        <v>14</v>
      </c>
      <c r="J15">
        <v>7</v>
      </c>
      <c r="K15" s="2">
        <v>750</v>
      </c>
      <c r="L15">
        <v>600</v>
      </c>
      <c r="M15" s="3">
        <f>Table1[[#This Row],[Quantity]]*Table1[[#This Row],[Unit_Price]]</f>
        <v>5250</v>
      </c>
    </row>
    <row r="16" spans="1:13" x14ac:dyDescent="0.35">
      <c r="A16" t="s">
        <v>76</v>
      </c>
      <c r="B16" s="1">
        <v>46085</v>
      </c>
      <c r="C16">
        <v>2026</v>
      </c>
      <c r="D16" t="s">
        <v>27</v>
      </c>
      <c r="E16" t="s">
        <v>6</v>
      </c>
      <c r="F16" t="s">
        <v>21</v>
      </c>
      <c r="G16" t="s">
        <v>40</v>
      </c>
      <c r="H16" t="s">
        <v>26</v>
      </c>
      <c r="I16" t="s">
        <v>62</v>
      </c>
      <c r="J16">
        <v>4</v>
      </c>
      <c r="K16" s="2">
        <v>280</v>
      </c>
      <c r="L16">
        <v>210</v>
      </c>
      <c r="M16" s="3">
        <f>Table1[[#This Row],[Quantity]]*Table1[[#This Row],[Unit_Price]]</f>
        <v>1120</v>
      </c>
    </row>
    <row r="17" spans="1:13" x14ac:dyDescent="0.35">
      <c r="A17" t="s">
        <v>77</v>
      </c>
      <c r="B17" s="1">
        <v>46089</v>
      </c>
      <c r="C17">
        <v>2026</v>
      </c>
      <c r="D17" t="s">
        <v>27</v>
      </c>
      <c r="E17" t="s">
        <v>41</v>
      </c>
      <c r="F17" t="s">
        <v>42</v>
      </c>
      <c r="G17" t="s">
        <v>43</v>
      </c>
      <c r="H17" t="s">
        <v>67</v>
      </c>
      <c r="I17" t="s">
        <v>14</v>
      </c>
      <c r="J17">
        <v>5</v>
      </c>
      <c r="K17" s="2">
        <v>650</v>
      </c>
      <c r="L17">
        <v>500</v>
      </c>
      <c r="M17" s="3">
        <f>Table1[[#This Row],[Quantity]]*Table1[[#This Row],[Unit_Price]]</f>
        <v>3250</v>
      </c>
    </row>
    <row r="18" spans="1:13" x14ac:dyDescent="0.35">
      <c r="A18" t="s">
        <v>78</v>
      </c>
      <c r="B18" s="1">
        <v>46093</v>
      </c>
      <c r="C18">
        <v>2026</v>
      </c>
      <c r="D18" t="s">
        <v>27</v>
      </c>
      <c r="E18" t="s">
        <v>47</v>
      </c>
      <c r="F18" t="s">
        <v>48</v>
      </c>
      <c r="G18" t="s">
        <v>49</v>
      </c>
      <c r="H18" t="s">
        <v>12</v>
      </c>
      <c r="I18" t="s">
        <v>14</v>
      </c>
      <c r="J18">
        <v>8</v>
      </c>
      <c r="K18" s="2">
        <v>750</v>
      </c>
      <c r="L18">
        <v>600</v>
      </c>
      <c r="M18" s="3">
        <f>Table1[[#This Row],[Quantity]]*Table1[[#This Row],[Unit_Price]]</f>
        <v>6000</v>
      </c>
    </row>
    <row r="19" spans="1:13" x14ac:dyDescent="0.35">
      <c r="A19" t="s">
        <v>79</v>
      </c>
      <c r="B19" s="1">
        <v>46097</v>
      </c>
      <c r="C19">
        <v>2026</v>
      </c>
      <c r="D19" t="s">
        <v>27</v>
      </c>
      <c r="E19" t="s">
        <v>52</v>
      </c>
      <c r="F19" t="s">
        <v>53</v>
      </c>
      <c r="G19" t="s">
        <v>56</v>
      </c>
      <c r="H19" t="s">
        <v>60</v>
      </c>
      <c r="I19" t="s">
        <v>14</v>
      </c>
      <c r="J19">
        <v>7</v>
      </c>
      <c r="K19" s="2">
        <v>450</v>
      </c>
      <c r="L19">
        <v>350</v>
      </c>
      <c r="M19" s="3">
        <f>Table1[[#This Row],[Quantity]]*Table1[[#This Row],[Unit_Price]]</f>
        <v>3150</v>
      </c>
    </row>
    <row r="20" spans="1:13" x14ac:dyDescent="0.35">
      <c r="A20" t="s">
        <v>80</v>
      </c>
      <c r="B20" s="1">
        <v>46101</v>
      </c>
      <c r="C20">
        <v>2026</v>
      </c>
      <c r="D20" t="s">
        <v>27</v>
      </c>
      <c r="E20" t="s">
        <v>6</v>
      </c>
      <c r="F20" t="s">
        <v>37</v>
      </c>
      <c r="G20" t="s">
        <v>22</v>
      </c>
      <c r="H20" t="s">
        <v>19</v>
      </c>
      <c r="I20" t="s">
        <v>20</v>
      </c>
      <c r="J20">
        <v>20</v>
      </c>
      <c r="K20" s="2">
        <v>25</v>
      </c>
      <c r="L20">
        <v>15</v>
      </c>
      <c r="M20" s="3">
        <f>Table1[[#This Row],[Quantity]]*Table1[[#This Row],[Unit_Price]]</f>
        <v>500</v>
      </c>
    </row>
    <row r="21" spans="1:13" x14ac:dyDescent="0.35">
      <c r="A21" t="s">
        <v>81</v>
      </c>
      <c r="B21" s="1">
        <v>46105</v>
      </c>
      <c r="C21">
        <v>2026</v>
      </c>
      <c r="D21" t="s">
        <v>27</v>
      </c>
      <c r="E21" t="s">
        <v>6</v>
      </c>
      <c r="F21" t="s">
        <v>39</v>
      </c>
      <c r="G21" t="s">
        <v>38</v>
      </c>
      <c r="H21" t="s">
        <v>24</v>
      </c>
      <c r="I21" t="s">
        <v>14</v>
      </c>
      <c r="J21">
        <v>5</v>
      </c>
      <c r="K21" s="2">
        <v>300</v>
      </c>
      <c r="L21">
        <v>220</v>
      </c>
      <c r="M21" s="3">
        <f>Table1[[#This Row],[Quantity]]*Table1[[#This Row],[Unit_Price]]</f>
        <v>1500</v>
      </c>
    </row>
    <row r="22" spans="1:13" x14ac:dyDescent="0.35">
      <c r="A22" t="s">
        <v>82</v>
      </c>
      <c r="B22" s="1">
        <v>46109</v>
      </c>
      <c r="C22">
        <v>2026</v>
      </c>
      <c r="D22" t="s">
        <v>27</v>
      </c>
      <c r="E22" t="s">
        <v>6</v>
      </c>
      <c r="F22" t="s">
        <v>8</v>
      </c>
      <c r="G22" t="s">
        <v>10</v>
      </c>
      <c r="H22" t="s">
        <v>26</v>
      </c>
      <c r="I22" t="s">
        <v>62</v>
      </c>
      <c r="J22">
        <v>6</v>
      </c>
      <c r="K22" s="2">
        <v>280</v>
      </c>
      <c r="L22">
        <v>210</v>
      </c>
      <c r="M22" s="3">
        <f>Table1[[#This Row],[Quantity]]*Table1[[#This Row],[Unit_Price]]</f>
        <v>1680</v>
      </c>
    </row>
    <row r="23" spans="1:13" x14ac:dyDescent="0.35">
      <c r="A23" t="s">
        <v>83</v>
      </c>
      <c r="B23" s="1">
        <v>46115</v>
      </c>
      <c r="C23">
        <v>2026</v>
      </c>
      <c r="D23" t="s">
        <v>28</v>
      </c>
      <c r="E23" t="s">
        <v>41</v>
      </c>
      <c r="F23" t="s">
        <v>42</v>
      </c>
      <c r="G23" t="s">
        <v>44</v>
      </c>
      <c r="H23" t="s">
        <v>23</v>
      </c>
      <c r="I23" t="s">
        <v>20</v>
      </c>
      <c r="J23">
        <v>14</v>
      </c>
      <c r="K23" s="2">
        <v>45</v>
      </c>
      <c r="L23">
        <v>30</v>
      </c>
      <c r="M23" s="3">
        <f>Table1[[#This Row],[Quantity]]*Table1[[#This Row],[Unit_Price]]</f>
        <v>630</v>
      </c>
    </row>
    <row r="24" spans="1:13" x14ac:dyDescent="0.35">
      <c r="A24" t="s">
        <v>84</v>
      </c>
      <c r="B24" s="1">
        <v>46119</v>
      </c>
      <c r="C24">
        <v>2026</v>
      </c>
      <c r="D24" t="s">
        <v>28</v>
      </c>
      <c r="E24" t="s">
        <v>47</v>
      </c>
      <c r="F24" t="s">
        <v>48</v>
      </c>
      <c r="G24" t="s">
        <v>50</v>
      </c>
      <c r="H24" t="s">
        <v>12</v>
      </c>
      <c r="I24" t="s">
        <v>14</v>
      </c>
      <c r="J24">
        <v>5</v>
      </c>
      <c r="K24" s="2">
        <v>750</v>
      </c>
      <c r="L24">
        <v>600</v>
      </c>
      <c r="M24" s="3">
        <f>Table1[[#This Row],[Quantity]]*Table1[[#This Row],[Unit_Price]]</f>
        <v>3750</v>
      </c>
    </row>
    <row r="25" spans="1:13" x14ac:dyDescent="0.35">
      <c r="A25" t="s">
        <v>85</v>
      </c>
      <c r="B25" s="1">
        <v>46123</v>
      </c>
      <c r="C25">
        <v>2026</v>
      </c>
      <c r="D25" t="s">
        <v>28</v>
      </c>
      <c r="E25" t="s">
        <v>52</v>
      </c>
      <c r="F25" t="s">
        <v>53</v>
      </c>
      <c r="G25" t="s">
        <v>57</v>
      </c>
      <c r="H25" t="s">
        <v>67</v>
      </c>
      <c r="I25" t="s">
        <v>14</v>
      </c>
      <c r="J25">
        <v>3</v>
      </c>
      <c r="K25" s="2">
        <v>650</v>
      </c>
      <c r="L25">
        <v>500</v>
      </c>
      <c r="M25" s="3">
        <f>Table1[[#This Row],[Quantity]]*Table1[[#This Row],[Unit_Price]]</f>
        <v>1950</v>
      </c>
    </row>
    <row r="26" spans="1:13" x14ac:dyDescent="0.35">
      <c r="A26" t="s">
        <v>86</v>
      </c>
      <c r="B26" s="1">
        <v>46127</v>
      </c>
      <c r="C26">
        <v>2026</v>
      </c>
      <c r="D26" t="s">
        <v>28</v>
      </c>
      <c r="E26" t="s">
        <v>6</v>
      </c>
      <c r="F26" t="s">
        <v>8</v>
      </c>
      <c r="G26" t="s">
        <v>22</v>
      </c>
      <c r="H26" t="s">
        <v>60</v>
      </c>
      <c r="I26" t="s">
        <v>14</v>
      </c>
      <c r="J26">
        <v>11</v>
      </c>
      <c r="K26" s="2">
        <v>450</v>
      </c>
      <c r="L26">
        <v>350</v>
      </c>
      <c r="M26" s="3">
        <f>Table1[[#This Row],[Quantity]]*Table1[[#This Row],[Unit_Price]]</f>
        <v>4950</v>
      </c>
    </row>
    <row r="27" spans="1:13" x14ac:dyDescent="0.35">
      <c r="A27" t="s">
        <v>87</v>
      </c>
      <c r="B27" s="1">
        <v>46131</v>
      </c>
      <c r="C27">
        <v>2026</v>
      </c>
      <c r="D27" t="s">
        <v>28</v>
      </c>
      <c r="E27" t="s">
        <v>6</v>
      </c>
      <c r="F27" t="s">
        <v>21</v>
      </c>
      <c r="G27" t="s">
        <v>40</v>
      </c>
      <c r="H27" t="s">
        <v>24</v>
      </c>
      <c r="I27" t="s">
        <v>14</v>
      </c>
      <c r="J27">
        <v>7</v>
      </c>
      <c r="K27" s="2">
        <v>300</v>
      </c>
      <c r="L27">
        <v>220</v>
      </c>
      <c r="M27" s="3">
        <f>Table1[[#This Row],[Quantity]]*Table1[[#This Row],[Unit_Price]]</f>
        <v>2100</v>
      </c>
    </row>
    <row r="28" spans="1:13" x14ac:dyDescent="0.35">
      <c r="A28" t="s">
        <v>88</v>
      </c>
      <c r="B28" s="1">
        <v>46135</v>
      </c>
      <c r="C28">
        <v>2026</v>
      </c>
      <c r="D28" t="s">
        <v>28</v>
      </c>
      <c r="E28" t="s">
        <v>6</v>
      </c>
      <c r="F28" t="s">
        <v>37</v>
      </c>
      <c r="G28" t="s">
        <v>38</v>
      </c>
      <c r="H28" t="s">
        <v>12</v>
      </c>
      <c r="I28" t="s">
        <v>14</v>
      </c>
      <c r="J28">
        <v>6</v>
      </c>
      <c r="K28" s="2">
        <v>750</v>
      </c>
      <c r="L28">
        <v>600</v>
      </c>
      <c r="M28" s="3">
        <f>Table1[[#This Row],[Quantity]]*Table1[[#This Row],[Unit_Price]]</f>
        <v>4500</v>
      </c>
    </row>
    <row r="29" spans="1:13" x14ac:dyDescent="0.35">
      <c r="A29" t="s">
        <v>89</v>
      </c>
      <c r="B29" s="1">
        <v>46139</v>
      </c>
      <c r="C29">
        <v>2026</v>
      </c>
      <c r="D29" t="s">
        <v>28</v>
      </c>
      <c r="E29" t="s">
        <v>6</v>
      </c>
      <c r="F29" t="s">
        <v>70</v>
      </c>
      <c r="G29" t="s">
        <v>10</v>
      </c>
      <c r="H29" t="s">
        <v>26</v>
      </c>
      <c r="I29" t="s">
        <v>62</v>
      </c>
      <c r="J29">
        <v>4</v>
      </c>
      <c r="K29" s="2">
        <v>280</v>
      </c>
      <c r="L29">
        <v>210</v>
      </c>
      <c r="M29" s="3">
        <f>Table1[[#This Row],[Quantity]]*Table1[[#This Row],[Unit_Price]]</f>
        <v>1120</v>
      </c>
    </row>
    <row r="30" spans="1:13" x14ac:dyDescent="0.35">
      <c r="A30" t="s">
        <v>90</v>
      </c>
      <c r="B30" s="1">
        <v>46144</v>
      </c>
      <c r="C30">
        <v>2026</v>
      </c>
      <c r="D30" t="s">
        <v>29</v>
      </c>
      <c r="E30" t="s">
        <v>41</v>
      </c>
      <c r="F30" t="s">
        <v>42</v>
      </c>
      <c r="G30" t="s">
        <v>45</v>
      </c>
      <c r="H30" t="s">
        <v>19</v>
      </c>
      <c r="I30" t="s">
        <v>20</v>
      </c>
      <c r="J30">
        <v>18</v>
      </c>
      <c r="K30" s="2">
        <v>25</v>
      </c>
      <c r="L30">
        <v>15</v>
      </c>
      <c r="M30" s="3">
        <f>Table1[[#This Row],[Quantity]]*Table1[[#This Row],[Unit_Price]]</f>
        <v>450</v>
      </c>
    </row>
    <row r="31" spans="1:13" x14ac:dyDescent="0.35">
      <c r="A31" t="s">
        <v>91</v>
      </c>
      <c r="B31" s="1">
        <v>46148</v>
      </c>
      <c r="C31">
        <v>2026</v>
      </c>
      <c r="D31" t="s">
        <v>29</v>
      </c>
      <c r="E31" t="s">
        <v>47</v>
      </c>
      <c r="F31" t="s">
        <v>48</v>
      </c>
      <c r="G31" t="s">
        <v>51</v>
      </c>
      <c r="H31" t="s">
        <v>23</v>
      </c>
      <c r="I31" t="s">
        <v>20</v>
      </c>
      <c r="J31">
        <v>16</v>
      </c>
      <c r="K31" s="2">
        <v>45</v>
      </c>
      <c r="L31">
        <v>30</v>
      </c>
      <c r="M31" s="3">
        <f>Table1[[#This Row],[Quantity]]*Table1[[#This Row],[Unit_Price]]</f>
        <v>720</v>
      </c>
    </row>
    <row r="32" spans="1:13" x14ac:dyDescent="0.35">
      <c r="A32" t="s">
        <v>92</v>
      </c>
      <c r="B32" s="1">
        <v>46152</v>
      </c>
      <c r="C32">
        <v>2026</v>
      </c>
      <c r="D32" t="s">
        <v>29</v>
      </c>
      <c r="E32" t="s">
        <v>52</v>
      </c>
      <c r="F32" t="s">
        <v>53</v>
      </c>
      <c r="G32" t="s">
        <v>54</v>
      </c>
      <c r="H32" t="s">
        <v>12</v>
      </c>
      <c r="I32" t="s">
        <v>14</v>
      </c>
      <c r="J32">
        <v>4</v>
      </c>
      <c r="K32" s="2">
        <v>750</v>
      </c>
      <c r="L32">
        <v>600</v>
      </c>
      <c r="M32" s="3">
        <f>Table1[[#This Row],[Quantity]]*Table1[[#This Row],[Unit_Price]]</f>
        <v>3000</v>
      </c>
    </row>
    <row r="33" spans="1:13" x14ac:dyDescent="0.35">
      <c r="A33" t="s">
        <v>93</v>
      </c>
      <c r="B33" s="1">
        <v>46156</v>
      </c>
      <c r="C33">
        <v>2026</v>
      </c>
      <c r="D33" t="s">
        <v>29</v>
      </c>
      <c r="E33" t="s">
        <v>6</v>
      </c>
      <c r="F33" t="s">
        <v>8</v>
      </c>
      <c r="G33" t="s">
        <v>10</v>
      </c>
      <c r="H33" t="s">
        <v>67</v>
      </c>
      <c r="I33" t="s">
        <v>14</v>
      </c>
      <c r="J33">
        <v>5</v>
      </c>
      <c r="K33" s="2">
        <v>650</v>
      </c>
      <c r="L33">
        <v>500</v>
      </c>
      <c r="M33" s="3">
        <f>Table1[[#This Row],[Quantity]]*Table1[[#This Row],[Unit_Price]]</f>
        <v>3250</v>
      </c>
    </row>
    <row r="34" spans="1:13" x14ac:dyDescent="0.35">
      <c r="A34" t="s">
        <v>94</v>
      </c>
      <c r="B34" s="1">
        <v>46160</v>
      </c>
      <c r="C34">
        <v>2026</v>
      </c>
      <c r="D34" t="s">
        <v>29</v>
      </c>
      <c r="E34" t="s">
        <v>6</v>
      </c>
      <c r="F34" t="s">
        <v>39</v>
      </c>
      <c r="G34" t="s">
        <v>22</v>
      </c>
      <c r="H34" t="s">
        <v>60</v>
      </c>
      <c r="I34" t="s">
        <v>14</v>
      </c>
      <c r="J34">
        <v>10</v>
      </c>
      <c r="K34" s="2">
        <v>450</v>
      </c>
      <c r="L34">
        <v>350</v>
      </c>
      <c r="M34" s="3">
        <f>Table1[[#This Row],[Quantity]]*Table1[[#This Row],[Unit_Price]]</f>
        <v>4500</v>
      </c>
    </row>
    <row r="35" spans="1:13" x14ac:dyDescent="0.35">
      <c r="A35" t="s">
        <v>95</v>
      </c>
      <c r="B35" s="1">
        <v>46164</v>
      </c>
      <c r="C35">
        <v>2026</v>
      </c>
      <c r="D35" t="s">
        <v>29</v>
      </c>
      <c r="E35" t="s">
        <v>6</v>
      </c>
      <c r="F35" t="s">
        <v>18</v>
      </c>
      <c r="G35" t="s">
        <v>40</v>
      </c>
      <c r="H35" t="s">
        <v>24</v>
      </c>
      <c r="I35" t="s">
        <v>14</v>
      </c>
      <c r="J35">
        <v>8</v>
      </c>
      <c r="K35" s="2">
        <v>300</v>
      </c>
      <c r="L35">
        <v>220</v>
      </c>
      <c r="M35" s="3">
        <f>Table1[[#This Row],[Quantity]]*Table1[[#This Row],[Unit_Price]]</f>
        <v>2400</v>
      </c>
    </row>
    <row r="36" spans="1:13" x14ac:dyDescent="0.35">
      <c r="A36" t="s">
        <v>96</v>
      </c>
      <c r="B36" s="1">
        <v>46168</v>
      </c>
      <c r="C36">
        <v>2026</v>
      </c>
      <c r="D36" t="s">
        <v>29</v>
      </c>
      <c r="E36" t="s">
        <v>6</v>
      </c>
      <c r="F36" t="s">
        <v>21</v>
      </c>
      <c r="G36" t="s">
        <v>38</v>
      </c>
      <c r="H36" t="s">
        <v>26</v>
      </c>
      <c r="I36" t="s">
        <v>62</v>
      </c>
      <c r="J36">
        <v>5</v>
      </c>
      <c r="K36" s="2">
        <v>280</v>
      </c>
      <c r="L36">
        <v>210</v>
      </c>
      <c r="M36" s="3">
        <f>Table1[[#This Row],[Quantity]]*Table1[[#This Row],[Unit_Price]]</f>
        <v>1400</v>
      </c>
    </row>
    <row r="37" spans="1:13" x14ac:dyDescent="0.35">
      <c r="A37" t="s">
        <v>97</v>
      </c>
      <c r="B37" s="1">
        <v>46172</v>
      </c>
      <c r="C37">
        <v>2026</v>
      </c>
      <c r="D37" t="s">
        <v>29</v>
      </c>
      <c r="E37" t="s">
        <v>41</v>
      </c>
      <c r="F37" t="s">
        <v>42</v>
      </c>
      <c r="G37" t="s">
        <v>46</v>
      </c>
      <c r="H37" t="s">
        <v>12</v>
      </c>
      <c r="I37" t="s">
        <v>14</v>
      </c>
      <c r="J37">
        <v>7</v>
      </c>
      <c r="K37" s="2">
        <v>750</v>
      </c>
      <c r="L37">
        <v>600</v>
      </c>
      <c r="M37" s="3">
        <f>Table1[[#This Row],[Quantity]]*Table1[[#This Row],[Unit_Price]]</f>
        <v>5250</v>
      </c>
    </row>
    <row r="38" spans="1:13" x14ac:dyDescent="0.35">
      <c r="A38" t="s">
        <v>98</v>
      </c>
      <c r="B38" s="1">
        <v>46177</v>
      </c>
      <c r="C38">
        <v>2026</v>
      </c>
      <c r="D38" t="s">
        <v>30</v>
      </c>
      <c r="E38" t="s">
        <v>47</v>
      </c>
      <c r="F38" t="s">
        <v>48</v>
      </c>
      <c r="G38" t="s">
        <v>49</v>
      </c>
      <c r="H38" t="s">
        <v>60</v>
      </c>
      <c r="I38" t="s">
        <v>14</v>
      </c>
      <c r="J38">
        <v>12</v>
      </c>
      <c r="K38" s="2">
        <v>450</v>
      </c>
      <c r="L38">
        <v>350</v>
      </c>
      <c r="M38" s="3">
        <f>Table1[[#This Row],[Quantity]]*Table1[[#This Row],[Unit_Price]]</f>
        <v>5400</v>
      </c>
    </row>
    <row r="39" spans="1:13" x14ac:dyDescent="0.35">
      <c r="A39" t="s">
        <v>99</v>
      </c>
      <c r="B39" s="1">
        <v>46181</v>
      </c>
      <c r="C39">
        <v>2026</v>
      </c>
      <c r="D39" t="s">
        <v>30</v>
      </c>
      <c r="E39" t="s">
        <v>52</v>
      </c>
      <c r="F39" t="s">
        <v>53</v>
      </c>
      <c r="G39" t="s">
        <v>55</v>
      </c>
      <c r="H39" t="s">
        <v>24</v>
      </c>
      <c r="I39" t="s">
        <v>14</v>
      </c>
      <c r="J39">
        <v>5</v>
      </c>
      <c r="K39" s="2">
        <v>300</v>
      </c>
      <c r="L39">
        <v>220</v>
      </c>
      <c r="M39" s="3">
        <f>Table1[[#This Row],[Quantity]]*Table1[[#This Row],[Unit_Price]]</f>
        <v>1500</v>
      </c>
    </row>
    <row r="40" spans="1:13" x14ac:dyDescent="0.35">
      <c r="A40" t="s">
        <v>100</v>
      </c>
      <c r="B40" s="1">
        <v>46185</v>
      </c>
      <c r="C40">
        <v>2026</v>
      </c>
      <c r="D40" t="s">
        <v>30</v>
      </c>
      <c r="E40" t="s">
        <v>6</v>
      </c>
      <c r="F40" t="s">
        <v>37</v>
      </c>
      <c r="G40" t="s">
        <v>10</v>
      </c>
      <c r="H40" t="s">
        <v>23</v>
      </c>
      <c r="I40" t="s">
        <v>20</v>
      </c>
      <c r="J40">
        <v>13</v>
      </c>
      <c r="K40" s="2">
        <v>45</v>
      </c>
      <c r="L40">
        <v>30</v>
      </c>
      <c r="M40" s="3">
        <f>Table1[[#This Row],[Quantity]]*Table1[[#This Row],[Unit_Price]]</f>
        <v>585</v>
      </c>
    </row>
    <row r="41" spans="1:13" x14ac:dyDescent="0.35">
      <c r="A41" t="s">
        <v>101</v>
      </c>
      <c r="B41" s="1">
        <v>46189</v>
      </c>
      <c r="C41">
        <v>2026</v>
      </c>
      <c r="D41" t="s">
        <v>30</v>
      </c>
      <c r="E41" t="s">
        <v>6</v>
      </c>
      <c r="F41" t="s">
        <v>8</v>
      </c>
      <c r="G41" t="s">
        <v>22</v>
      </c>
      <c r="H41" t="s">
        <v>12</v>
      </c>
      <c r="I41" t="s">
        <v>14</v>
      </c>
      <c r="J41">
        <v>9</v>
      </c>
      <c r="K41" s="2">
        <v>750</v>
      </c>
      <c r="L41">
        <v>600</v>
      </c>
      <c r="M41" s="3">
        <f>Table1[[#This Row],[Quantity]]*Table1[[#This Row],[Unit_Price]]</f>
        <v>6750</v>
      </c>
    </row>
    <row r="42" spans="1:13" x14ac:dyDescent="0.35">
      <c r="A42" t="s">
        <v>102</v>
      </c>
      <c r="B42" s="1">
        <v>46193</v>
      </c>
      <c r="C42">
        <v>2026</v>
      </c>
      <c r="D42" t="s">
        <v>30</v>
      </c>
      <c r="E42" t="s">
        <v>6</v>
      </c>
      <c r="F42" t="s">
        <v>70</v>
      </c>
      <c r="G42" t="s">
        <v>38</v>
      </c>
      <c r="H42" t="s">
        <v>19</v>
      </c>
      <c r="I42" t="s">
        <v>20</v>
      </c>
      <c r="J42">
        <v>22</v>
      </c>
      <c r="K42" s="2">
        <v>25</v>
      </c>
      <c r="L42">
        <v>15</v>
      </c>
      <c r="M42" s="3">
        <f>Table1[[#This Row],[Quantity]]*Table1[[#This Row],[Unit_Price]]</f>
        <v>550</v>
      </c>
    </row>
    <row r="43" spans="1:13" x14ac:dyDescent="0.35">
      <c r="A43" t="s">
        <v>103</v>
      </c>
      <c r="B43" s="1">
        <v>46197</v>
      </c>
      <c r="C43">
        <v>2026</v>
      </c>
      <c r="D43" t="s">
        <v>30</v>
      </c>
      <c r="E43" t="s">
        <v>6</v>
      </c>
      <c r="F43" t="s">
        <v>39</v>
      </c>
      <c r="G43" t="s">
        <v>40</v>
      </c>
      <c r="H43" t="s">
        <v>67</v>
      </c>
      <c r="I43" t="s">
        <v>14</v>
      </c>
      <c r="J43">
        <v>4</v>
      </c>
      <c r="K43" s="2">
        <v>650</v>
      </c>
      <c r="L43">
        <v>500</v>
      </c>
      <c r="M43" s="3">
        <f>Table1[[#This Row],[Quantity]]*Table1[[#This Row],[Unit_Price]]</f>
        <v>2600</v>
      </c>
    </row>
    <row r="44" spans="1:13" x14ac:dyDescent="0.35">
      <c r="A44" t="s">
        <v>104</v>
      </c>
      <c r="B44" s="1">
        <v>46201</v>
      </c>
      <c r="C44">
        <v>2026</v>
      </c>
      <c r="D44" t="s">
        <v>30</v>
      </c>
      <c r="E44" t="s">
        <v>41</v>
      </c>
      <c r="F44" t="s">
        <v>42</v>
      </c>
      <c r="G44" t="s">
        <v>43</v>
      </c>
      <c r="H44" t="s">
        <v>26</v>
      </c>
      <c r="I44" t="s">
        <v>62</v>
      </c>
      <c r="J44">
        <v>6</v>
      </c>
      <c r="K44" s="2">
        <v>280</v>
      </c>
      <c r="L44">
        <v>210</v>
      </c>
      <c r="M44" s="3">
        <f>Table1[[#This Row],[Quantity]]*Table1[[#This Row],[Unit_Price]]</f>
        <v>1680</v>
      </c>
    </row>
    <row r="45" spans="1:13" x14ac:dyDescent="0.35">
      <c r="A45" t="s">
        <v>105</v>
      </c>
      <c r="B45" s="1">
        <v>46206</v>
      </c>
      <c r="C45">
        <v>2026</v>
      </c>
      <c r="D45" t="s">
        <v>31</v>
      </c>
      <c r="E45" t="s">
        <v>47</v>
      </c>
      <c r="F45" t="s">
        <v>48</v>
      </c>
      <c r="G45" t="s">
        <v>50</v>
      </c>
      <c r="H45" t="s">
        <v>12</v>
      </c>
      <c r="I45" t="s">
        <v>14</v>
      </c>
      <c r="J45">
        <v>6</v>
      </c>
      <c r="K45" s="2">
        <v>750</v>
      </c>
      <c r="L45">
        <v>600</v>
      </c>
      <c r="M45" s="3">
        <f>Table1[[#This Row],[Quantity]]*Table1[[#This Row],[Unit_Price]]</f>
        <v>4500</v>
      </c>
    </row>
    <row r="46" spans="1:13" x14ac:dyDescent="0.35">
      <c r="A46" t="s">
        <v>106</v>
      </c>
      <c r="B46" s="1">
        <v>46210</v>
      </c>
      <c r="C46">
        <v>2026</v>
      </c>
      <c r="D46" t="s">
        <v>31</v>
      </c>
      <c r="E46" t="s">
        <v>52</v>
      </c>
      <c r="F46" t="s">
        <v>53</v>
      </c>
      <c r="G46" t="s">
        <v>56</v>
      </c>
      <c r="H46" t="s">
        <v>23</v>
      </c>
      <c r="I46" t="s">
        <v>20</v>
      </c>
      <c r="J46">
        <v>15</v>
      </c>
      <c r="K46" s="2">
        <v>45</v>
      </c>
      <c r="L46">
        <v>30</v>
      </c>
      <c r="M46" s="3">
        <f>Table1[[#This Row],[Quantity]]*Table1[[#This Row],[Unit_Price]]</f>
        <v>675</v>
      </c>
    </row>
    <row r="47" spans="1:13" x14ac:dyDescent="0.35">
      <c r="A47" t="s">
        <v>107</v>
      </c>
      <c r="B47" s="1">
        <v>46214</v>
      </c>
      <c r="C47">
        <v>2026</v>
      </c>
      <c r="D47" t="s">
        <v>31</v>
      </c>
      <c r="E47" t="s">
        <v>6</v>
      </c>
      <c r="F47" t="s">
        <v>8</v>
      </c>
      <c r="G47" t="s">
        <v>10</v>
      </c>
      <c r="H47" t="s">
        <v>60</v>
      </c>
      <c r="I47" t="s">
        <v>14</v>
      </c>
      <c r="J47">
        <v>9</v>
      </c>
      <c r="K47" s="2">
        <v>450</v>
      </c>
      <c r="L47">
        <v>350</v>
      </c>
      <c r="M47" s="3">
        <f>Table1[[#This Row],[Quantity]]*Table1[[#This Row],[Unit_Price]]</f>
        <v>4050</v>
      </c>
    </row>
    <row r="48" spans="1:13" x14ac:dyDescent="0.35">
      <c r="A48" t="s">
        <v>108</v>
      </c>
      <c r="B48" s="1">
        <v>46218</v>
      </c>
      <c r="C48">
        <v>2026</v>
      </c>
      <c r="D48" t="s">
        <v>31</v>
      </c>
      <c r="E48" t="s">
        <v>6</v>
      </c>
      <c r="F48" t="s">
        <v>21</v>
      </c>
      <c r="G48" t="s">
        <v>22</v>
      </c>
      <c r="H48" t="s">
        <v>24</v>
      </c>
      <c r="I48" t="s">
        <v>14</v>
      </c>
      <c r="J48">
        <v>6</v>
      </c>
      <c r="K48" s="2">
        <v>300</v>
      </c>
      <c r="L48">
        <v>220</v>
      </c>
      <c r="M48" s="3">
        <f>Table1[[#This Row],[Quantity]]*Table1[[#This Row],[Unit_Price]]</f>
        <v>1800</v>
      </c>
    </row>
    <row r="49" spans="1:13" x14ac:dyDescent="0.35">
      <c r="A49" t="s">
        <v>109</v>
      </c>
      <c r="B49" s="1">
        <v>46222</v>
      </c>
      <c r="C49">
        <v>2026</v>
      </c>
      <c r="D49" t="s">
        <v>31</v>
      </c>
      <c r="E49" t="s">
        <v>6</v>
      </c>
      <c r="F49" t="s">
        <v>37</v>
      </c>
      <c r="G49" t="s">
        <v>38</v>
      </c>
      <c r="H49" t="s">
        <v>26</v>
      </c>
      <c r="I49" t="s">
        <v>62</v>
      </c>
      <c r="J49">
        <v>7</v>
      </c>
      <c r="K49" s="2">
        <v>280</v>
      </c>
      <c r="L49">
        <v>210</v>
      </c>
      <c r="M49" s="3">
        <f>Table1[[#This Row],[Quantity]]*Table1[[#This Row],[Unit_Price]]</f>
        <v>1960</v>
      </c>
    </row>
    <row r="50" spans="1:13" x14ac:dyDescent="0.35">
      <c r="A50" t="s">
        <v>110</v>
      </c>
      <c r="B50" s="1">
        <v>46226</v>
      </c>
      <c r="C50">
        <v>2026</v>
      </c>
      <c r="D50" t="s">
        <v>31</v>
      </c>
      <c r="E50" t="s">
        <v>6</v>
      </c>
      <c r="F50" t="s">
        <v>18</v>
      </c>
      <c r="G50" t="s">
        <v>40</v>
      </c>
      <c r="H50" t="s">
        <v>12</v>
      </c>
      <c r="I50" t="s">
        <v>14</v>
      </c>
      <c r="J50">
        <v>5</v>
      </c>
      <c r="K50" s="2">
        <v>750</v>
      </c>
      <c r="L50">
        <v>600</v>
      </c>
      <c r="M50" s="3">
        <f>Table1[[#This Row],[Quantity]]*Table1[[#This Row],[Unit_Price]]</f>
        <v>3750</v>
      </c>
    </row>
    <row r="51" spans="1:13" x14ac:dyDescent="0.35">
      <c r="A51" t="s">
        <v>111</v>
      </c>
      <c r="B51" s="1">
        <v>46230</v>
      </c>
      <c r="C51">
        <v>2026</v>
      </c>
      <c r="D51" t="s">
        <v>31</v>
      </c>
      <c r="E51" t="s">
        <v>41</v>
      </c>
      <c r="F51" t="s">
        <v>42</v>
      </c>
      <c r="G51" t="s">
        <v>44</v>
      </c>
      <c r="H51" t="s">
        <v>67</v>
      </c>
      <c r="I51" t="s">
        <v>14</v>
      </c>
      <c r="J51">
        <v>4</v>
      </c>
      <c r="K51" s="2">
        <v>650</v>
      </c>
      <c r="L51">
        <v>500</v>
      </c>
      <c r="M51" s="3">
        <f>Table1[[#This Row],[Quantity]]*Table1[[#This Row],[Unit_Price]]</f>
        <v>2600</v>
      </c>
    </row>
    <row r="52" spans="1:13" x14ac:dyDescent="0.35">
      <c r="A52" t="s">
        <v>112</v>
      </c>
      <c r="B52" s="1">
        <v>46234</v>
      </c>
      <c r="C52">
        <v>2026</v>
      </c>
      <c r="D52" t="s">
        <v>31</v>
      </c>
      <c r="E52" t="s">
        <v>47</v>
      </c>
      <c r="F52" t="s">
        <v>48</v>
      </c>
      <c r="G52" t="s">
        <v>49</v>
      </c>
      <c r="H52" t="s">
        <v>19</v>
      </c>
      <c r="I52" t="s">
        <v>20</v>
      </c>
      <c r="J52">
        <v>25</v>
      </c>
      <c r="K52" s="2">
        <v>25</v>
      </c>
      <c r="L52">
        <v>15</v>
      </c>
      <c r="M52" s="3">
        <f>Table1[[#This Row],[Quantity]]*Table1[[#This Row],[Unit_Price]]</f>
        <v>625</v>
      </c>
    </row>
    <row r="53" spans="1:13" x14ac:dyDescent="0.35">
      <c r="A53" t="s">
        <v>113</v>
      </c>
      <c r="B53" s="1">
        <v>46239</v>
      </c>
      <c r="C53">
        <v>2026</v>
      </c>
      <c r="D53" t="s">
        <v>32</v>
      </c>
      <c r="E53" t="s">
        <v>52</v>
      </c>
      <c r="F53" t="s">
        <v>53</v>
      </c>
      <c r="G53" t="s">
        <v>57</v>
      </c>
      <c r="H53" t="s">
        <v>12</v>
      </c>
      <c r="I53" t="s">
        <v>14</v>
      </c>
      <c r="J53">
        <v>6</v>
      </c>
      <c r="K53" s="2">
        <v>750</v>
      </c>
      <c r="L53">
        <v>600</v>
      </c>
      <c r="M53" s="3">
        <f>Table1[[#This Row],[Quantity]]*Table1[[#This Row],[Unit_Price]]</f>
        <v>4500</v>
      </c>
    </row>
    <row r="54" spans="1:13" x14ac:dyDescent="0.35">
      <c r="A54" t="s">
        <v>114</v>
      </c>
      <c r="B54" s="1">
        <v>46243</v>
      </c>
      <c r="C54">
        <v>2026</v>
      </c>
      <c r="D54" t="s">
        <v>32</v>
      </c>
      <c r="E54" t="s">
        <v>6</v>
      </c>
      <c r="F54" t="s">
        <v>8</v>
      </c>
      <c r="G54" t="s">
        <v>10</v>
      </c>
      <c r="H54" t="s">
        <v>26</v>
      </c>
      <c r="I54" t="s">
        <v>62</v>
      </c>
      <c r="J54">
        <v>5</v>
      </c>
      <c r="K54" s="2">
        <v>280</v>
      </c>
      <c r="L54">
        <v>210</v>
      </c>
      <c r="M54" s="3">
        <f>Table1[[#This Row],[Quantity]]*Table1[[#This Row],[Unit_Price]]</f>
        <v>1400</v>
      </c>
    </row>
    <row r="55" spans="1:13" x14ac:dyDescent="0.35">
      <c r="A55" t="s">
        <v>115</v>
      </c>
      <c r="B55" s="1">
        <v>46247</v>
      </c>
      <c r="C55">
        <v>2026</v>
      </c>
      <c r="D55" t="s">
        <v>32</v>
      </c>
      <c r="E55" t="s">
        <v>6</v>
      </c>
      <c r="F55" t="s">
        <v>39</v>
      </c>
      <c r="G55" t="s">
        <v>22</v>
      </c>
      <c r="H55" t="s">
        <v>60</v>
      </c>
      <c r="I55" t="s">
        <v>14</v>
      </c>
      <c r="J55">
        <v>13</v>
      </c>
      <c r="K55" s="2">
        <v>450</v>
      </c>
      <c r="L55">
        <v>350</v>
      </c>
      <c r="M55" s="3">
        <f>Table1[[#This Row],[Quantity]]*Table1[[#This Row],[Unit_Price]]</f>
        <v>5850</v>
      </c>
    </row>
    <row r="56" spans="1:13" x14ac:dyDescent="0.35">
      <c r="A56" t="s">
        <v>116</v>
      </c>
      <c r="B56" s="1">
        <v>46251</v>
      </c>
      <c r="C56">
        <v>2026</v>
      </c>
      <c r="D56" t="s">
        <v>32</v>
      </c>
      <c r="E56" t="s">
        <v>6</v>
      </c>
      <c r="F56" t="s">
        <v>70</v>
      </c>
      <c r="G56" t="s">
        <v>38</v>
      </c>
      <c r="H56" t="s">
        <v>24</v>
      </c>
      <c r="I56" t="s">
        <v>14</v>
      </c>
      <c r="J56">
        <v>8</v>
      </c>
      <c r="K56" s="2">
        <v>300</v>
      </c>
      <c r="L56">
        <v>220</v>
      </c>
      <c r="M56" s="3">
        <f>Table1[[#This Row],[Quantity]]*Table1[[#This Row],[Unit_Price]]</f>
        <v>2400</v>
      </c>
    </row>
    <row r="57" spans="1:13" x14ac:dyDescent="0.35">
      <c r="A57" t="s">
        <v>117</v>
      </c>
      <c r="B57" s="1">
        <v>46255</v>
      </c>
      <c r="C57">
        <v>2026</v>
      </c>
      <c r="D57" t="s">
        <v>32</v>
      </c>
      <c r="E57" t="s">
        <v>41</v>
      </c>
      <c r="F57" t="s">
        <v>42</v>
      </c>
      <c r="G57" t="s">
        <v>45</v>
      </c>
      <c r="H57" t="s">
        <v>23</v>
      </c>
      <c r="I57" t="s">
        <v>20</v>
      </c>
      <c r="J57">
        <v>18</v>
      </c>
      <c r="K57" s="2">
        <v>45</v>
      </c>
      <c r="L57">
        <v>30</v>
      </c>
      <c r="M57" s="3">
        <f>Table1[[#This Row],[Quantity]]*Table1[[#This Row],[Unit_Price]]</f>
        <v>810</v>
      </c>
    </row>
    <row r="58" spans="1:13" x14ac:dyDescent="0.35">
      <c r="A58" t="s">
        <v>118</v>
      </c>
      <c r="B58" s="1">
        <v>46259</v>
      </c>
      <c r="C58">
        <v>2026</v>
      </c>
      <c r="D58" t="s">
        <v>32</v>
      </c>
      <c r="E58" t="s">
        <v>47</v>
      </c>
      <c r="F58" t="s">
        <v>48</v>
      </c>
      <c r="G58" t="s">
        <v>50</v>
      </c>
      <c r="H58" t="s">
        <v>67</v>
      </c>
      <c r="I58" t="s">
        <v>14</v>
      </c>
      <c r="J58">
        <v>5</v>
      </c>
      <c r="K58" s="2">
        <v>650</v>
      </c>
      <c r="L58">
        <v>500</v>
      </c>
      <c r="M58" s="3">
        <f>Table1[[#This Row],[Quantity]]*Table1[[#This Row],[Unit_Price]]</f>
        <v>3250</v>
      </c>
    </row>
    <row r="59" spans="1:13" x14ac:dyDescent="0.35">
      <c r="A59" t="s">
        <v>119</v>
      </c>
      <c r="B59" s="1">
        <v>46263</v>
      </c>
      <c r="C59">
        <v>2026</v>
      </c>
      <c r="D59" t="s">
        <v>32</v>
      </c>
      <c r="E59" t="s">
        <v>52</v>
      </c>
      <c r="F59" t="s">
        <v>53</v>
      </c>
      <c r="G59" t="s">
        <v>54</v>
      </c>
      <c r="H59" t="s">
        <v>60</v>
      </c>
      <c r="I59" t="s">
        <v>14</v>
      </c>
      <c r="J59">
        <v>8</v>
      </c>
      <c r="K59" s="2">
        <v>450</v>
      </c>
      <c r="L59">
        <v>350</v>
      </c>
      <c r="M59" s="3">
        <f>Table1[[#This Row],[Quantity]]*Table1[[#This Row],[Unit_Price]]</f>
        <v>3600</v>
      </c>
    </row>
    <row r="60" spans="1:13" x14ac:dyDescent="0.35">
      <c r="A60" t="s">
        <v>120</v>
      </c>
      <c r="B60" s="1">
        <v>46268</v>
      </c>
      <c r="C60">
        <v>2026</v>
      </c>
      <c r="D60" t="s">
        <v>33</v>
      </c>
      <c r="E60" t="s">
        <v>6</v>
      </c>
      <c r="F60" t="s">
        <v>21</v>
      </c>
      <c r="G60" t="s">
        <v>40</v>
      </c>
      <c r="H60" t="s">
        <v>12</v>
      </c>
      <c r="I60" t="s">
        <v>14</v>
      </c>
      <c r="J60">
        <v>7</v>
      </c>
      <c r="K60" s="2">
        <v>750</v>
      </c>
      <c r="L60">
        <v>600</v>
      </c>
      <c r="M60" s="3">
        <f>Table1[[#This Row],[Quantity]]*Table1[[#This Row],[Unit_Price]]</f>
        <v>5250</v>
      </c>
    </row>
    <row r="61" spans="1:13" x14ac:dyDescent="0.35">
      <c r="A61" t="s">
        <v>121</v>
      </c>
      <c r="B61" s="1">
        <v>46272</v>
      </c>
      <c r="C61">
        <v>2026</v>
      </c>
      <c r="D61" t="s">
        <v>33</v>
      </c>
      <c r="E61" t="s">
        <v>6</v>
      </c>
      <c r="F61" t="s">
        <v>8</v>
      </c>
      <c r="G61" t="s">
        <v>10</v>
      </c>
      <c r="H61" t="s">
        <v>19</v>
      </c>
      <c r="I61" t="s">
        <v>20</v>
      </c>
      <c r="J61">
        <v>30</v>
      </c>
      <c r="K61" s="2">
        <v>25</v>
      </c>
      <c r="L61">
        <v>15</v>
      </c>
      <c r="M61" s="3">
        <f>Table1[[#This Row],[Quantity]]*Table1[[#This Row],[Unit_Price]]</f>
        <v>750</v>
      </c>
    </row>
    <row r="62" spans="1:13" x14ac:dyDescent="0.35">
      <c r="A62" t="s">
        <v>122</v>
      </c>
      <c r="B62" s="1">
        <v>46276</v>
      </c>
      <c r="C62">
        <v>2026</v>
      </c>
      <c r="D62" t="s">
        <v>33</v>
      </c>
      <c r="E62" t="s">
        <v>41</v>
      </c>
      <c r="F62" t="s">
        <v>42</v>
      </c>
      <c r="G62" t="s">
        <v>46</v>
      </c>
      <c r="H62" t="s">
        <v>26</v>
      </c>
      <c r="I62" t="s">
        <v>62</v>
      </c>
      <c r="J62">
        <v>7</v>
      </c>
      <c r="K62" s="2">
        <v>280</v>
      </c>
      <c r="L62">
        <v>210</v>
      </c>
      <c r="M62" s="3">
        <f>Table1[[#This Row],[Quantity]]*Table1[[#This Row],[Unit_Price]]</f>
        <v>1960</v>
      </c>
    </row>
    <row r="63" spans="1:13" x14ac:dyDescent="0.35">
      <c r="A63" t="s">
        <v>123</v>
      </c>
      <c r="B63" s="1">
        <v>46280</v>
      </c>
      <c r="C63">
        <v>2026</v>
      </c>
      <c r="D63" t="s">
        <v>33</v>
      </c>
      <c r="E63" t="s">
        <v>47</v>
      </c>
      <c r="F63" t="s">
        <v>48</v>
      </c>
      <c r="G63" t="s">
        <v>51</v>
      </c>
      <c r="H63" t="s">
        <v>24</v>
      </c>
      <c r="I63" t="s">
        <v>14</v>
      </c>
      <c r="J63">
        <v>9</v>
      </c>
      <c r="K63" s="2">
        <v>300</v>
      </c>
      <c r="L63">
        <v>220</v>
      </c>
      <c r="M63" s="3">
        <f>Table1[[#This Row],[Quantity]]*Table1[[#This Row],[Unit_Price]]</f>
        <v>2700</v>
      </c>
    </row>
    <row r="64" spans="1:13" x14ac:dyDescent="0.35">
      <c r="A64" t="s">
        <v>124</v>
      </c>
      <c r="B64" s="1">
        <v>46284</v>
      </c>
      <c r="C64">
        <v>2026</v>
      </c>
      <c r="D64" t="s">
        <v>33</v>
      </c>
      <c r="E64" t="s">
        <v>52</v>
      </c>
      <c r="F64" t="s">
        <v>53</v>
      </c>
      <c r="G64" t="s">
        <v>55</v>
      </c>
      <c r="H64" t="s">
        <v>23</v>
      </c>
      <c r="I64" t="s">
        <v>20</v>
      </c>
      <c r="J64">
        <v>17</v>
      </c>
      <c r="K64" s="2">
        <v>45</v>
      </c>
      <c r="L64">
        <v>30</v>
      </c>
      <c r="M64" s="3">
        <f>Table1[[#This Row],[Quantity]]*Table1[[#This Row],[Unit_Price]]</f>
        <v>765</v>
      </c>
    </row>
    <row r="65" spans="1:13" x14ac:dyDescent="0.35">
      <c r="A65" t="s">
        <v>125</v>
      </c>
      <c r="B65" s="1">
        <v>46288</v>
      </c>
      <c r="C65">
        <v>2026</v>
      </c>
      <c r="D65" t="s">
        <v>33</v>
      </c>
      <c r="E65" t="s">
        <v>6</v>
      </c>
      <c r="F65" t="s">
        <v>37</v>
      </c>
      <c r="G65" t="s">
        <v>22</v>
      </c>
      <c r="H65" t="s">
        <v>67</v>
      </c>
      <c r="I65" t="s">
        <v>14</v>
      </c>
      <c r="J65">
        <v>6</v>
      </c>
      <c r="K65" s="2">
        <v>650</v>
      </c>
      <c r="L65">
        <v>500</v>
      </c>
      <c r="M65" s="3">
        <f>Table1[[#This Row],[Quantity]]*Table1[[#This Row],[Unit_Price]]</f>
        <v>3900</v>
      </c>
    </row>
    <row r="66" spans="1:13" x14ac:dyDescent="0.35">
      <c r="A66" t="s">
        <v>126</v>
      </c>
      <c r="B66" s="1">
        <v>46292</v>
      </c>
      <c r="C66">
        <v>2026</v>
      </c>
      <c r="D66" t="s">
        <v>33</v>
      </c>
      <c r="E66" t="s">
        <v>6</v>
      </c>
      <c r="F66" t="s">
        <v>18</v>
      </c>
      <c r="G66" t="s">
        <v>38</v>
      </c>
      <c r="H66" t="s">
        <v>60</v>
      </c>
      <c r="I66" t="s">
        <v>14</v>
      </c>
      <c r="J66">
        <v>12</v>
      </c>
      <c r="K66" s="2">
        <v>450</v>
      </c>
      <c r="L66">
        <v>350</v>
      </c>
      <c r="M66" s="3">
        <f>Table1[[#This Row],[Quantity]]*Table1[[#This Row],[Unit_Price]]</f>
        <v>5400</v>
      </c>
    </row>
    <row r="67" spans="1:13" x14ac:dyDescent="0.35">
      <c r="A67" t="s">
        <v>127</v>
      </c>
      <c r="B67" s="1">
        <v>46297</v>
      </c>
      <c r="C67">
        <v>2026</v>
      </c>
      <c r="D67" t="s">
        <v>34</v>
      </c>
      <c r="E67" t="s">
        <v>6</v>
      </c>
      <c r="F67" t="s">
        <v>39</v>
      </c>
      <c r="G67" t="s">
        <v>40</v>
      </c>
      <c r="H67" t="s">
        <v>12</v>
      </c>
      <c r="I67" t="s">
        <v>14</v>
      </c>
      <c r="J67">
        <v>8</v>
      </c>
      <c r="K67" s="2">
        <v>750</v>
      </c>
      <c r="L67">
        <v>600</v>
      </c>
      <c r="M67" s="3">
        <f>Table1[[#This Row],[Quantity]]*Table1[[#This Row],[Unit_Price]]</f>
        <v>6000</v>
      </c>
    </row>
    <row r="68" spans="1:13" x14ac:dyDescent="0.35">
      <c r="A68" t="s">
        <v>128</v>
      </c>
      <c r="B68" s="1">
        <v>46301</v>
      </c>
      <c r="C68">
        <v>2026</v>
      </c>
      <c r="D68" t="s">
        <v>34</v>
      </c>
      <c r="E68" t="s">
        <v>41</v>
      </c>
      <c r="F68" t="s">
        <v>42</v>
      </c>
      <c r="G68" t="s">
        <v>43</v>
      </c>
      <c r="H68" t="s">
        <v>24</v>
      </c>
      <c r="I68" t="s">
        <v>14</v>
      </c>
      <c r="J68">
        <v>7</v>
      </c>
      <c r="K68" s="2">
        <v>300</v>
      </c>
      <c r="L68">
        <v>220</v>
      </c>
      <c r="M68" s="3">
        <f>Table1[[#This Row],[Quantity]]*Table1[[#This Row],[Unit_Price]]</f>
        <v>2100</v>
      </c>
    </row>
    <row r="69" spans="1:13" x14ac:dyDescent="0.35">
      <c r="A69" t="s">
        <v>129</v>
      </c>
      <c r="B69" s="1">
        <v>46305</v>
      </c>
      <c r="C69">
        <v>2026</v>
      </c>
      <c r="D69" t="s">
        <v>34</v>
      </c>
      <c r="E69" t="s">
        <v>47</v>
      </c>
      <c r="F69" t="s">
        <v>48</v>
      </c>
      <c r="G69" t="s">
        <v>49</v>
      </c>
      <c r="H69" t="s">
        <v>26</v>
      </c>
      <c r="I69" t="s">
        <v>62</v>
      </c>
      <c r="J69">
        <v>6</v>
      </c>
      <c r="K69" s="2">
        <v>280</v>
      </c>
      <c r="L69">
        <v>210</v>
      </c>
      <c r="M69" s="3">
        <f>Table1[[#This Row],[Quantity]]*Table1[[#This Row],[Unit_Price]]</f>
        <v>1680</v>
      </c>
    </row>
    <row r="70" spans="1:13" x14ac:dyDescent="0.35">
      <c r="A70" t="s">
        <v>130</v>
      </c>
      <c r="B70" s="1">
        <v>46309</v>
      </c>
      <c r="C70">
        <v>2026</v>
      </c>
      <c r="D70" t="s">
        <v>34</v>
      </c>
      <c r="E70" t="s">
        <v>52</v>
      </c>
      <c r="F70" t="s">
        <v>53</v>
      </c>
      <c r="G70" t="s">
        <v>56</v>
      </c>
      <c r="H70" t="s">
        <v>67</v>
      </c>
      <c r="I70" t="s">
        <v>14</v>
      </c>
      <c r="J70">
        <v>4</v>
      </c>
      <c r="K70" s="2">
        <v>650</v>
      </c>
      <c r="L70">
        <v>500</v>
      </c>
      <c r="M70" s="3">
        <f>Table1[[#This Row],[Quantity]]*Table1[[#This Row],[Unit_Price]]</f>
        <v>2600</v>
      </c>
    </row>
    <row r="71" spans="1:13" x14ac:dyDescent="0.35">
      <c r="A71" t="s">
        <v>131</v>
      </c>
      <c r="B71" s="1">
        <v>46313</v>
      </c>
      <c r="C71">
        <v>2026</v>
      </c>
      <c r="D71" t="s">
        <v>34</v>
      </c>
      <c r="E71" t="s">
        <v>6</v>
      </c>
      <c r="F71" t="s">
        <v>8</v>
      </c>
      <c r="G71" t="s">
        <v>10</v>
      </c>
      <c r="H71" t="s">
        <v>23</v>
      </c>
      <c r="I71" t="s">
        <v>20</v>
      </c>
      <c r="J71">
        <v>20</v>
      </c>
      <c r="K71" s="2">
        <v>45</v>
      </c>
      <c r="L71">
        <v>30</v>
      </c>
      <c r="M71" s="3">
        <f>Table1[[#This Row],[Quantity]]*Table1[[#This Row],[Unit_Price]]</f>
        <v>900</v>
      </c>
    </row>
    <row r="72" spans="1:13" x14ac:dyDescent="0.35">
      <c r="A72" t="s">
        <v>132</v>
      </c>
      <c r="B72" s="1">
        <v>46317</v>
      </c>
      <c r="C72">
        <v>2026</v>
      </c>
      <c r="D72" t="s">
        <v>34</v>
      </c>
      <c r="E72" t="s">
        <v>6</v>
      </c>
      <c r="F72" t="s">
        <v>21</v>
      </c>
      <c r="G72" t="s">
        <v>22</v>
      </c>
      <c r="H72" t="s">
        <v>60</v>
      </c>
      <c r="I72" t="s">
        <v>14</v>
      </c>
      <c r="J72">
        <v>14</v>
      </c>
      <c r="K72" s="2">
        <v>450</v>
      </c>
      <c r="L72">
        <v>350</v>
      </c>
      <c r="M72" s="3">
        <f>Table1[[#This Row],[Quantity]]*Table1[[#This Row],[Unit_Price]]</f>
        <v>6300</v>
      </c>
    </row>
    <row r="73" spans="1:13" x14ac:dyDescent="0.35">
      <c r="A73" t="s">
        <v>133</v>
      </c>
      <c r="B73" s="1">
        <v>46321</v>
      </c>
      <c r="C73">
        <v>2026</v>
      </c>
      <c r="D73" t="s">
        <v>34</v>
      </c>
      <c r="E73" t="s">
        <v>6</v>
      </c>
      <c r="F73" t="s">
        <v>70</v>
      </c>
      <c r="G73" t="s">
        <v>38</v>
      </c>
      <c r="H73" t="s">
        <v>12</v>
      </c>
      <c r="I73" t="s">
        <v>14</v>
      </c>
      <c r="J73">
        <v>6</v>
      </c>
      <c r="K73" s="2">
        <v>750</v>
      </c>
      <c r="L73">
        <v>600</v>
      </c>
      <c r="M73" s="3">
        <f>Table1[[#This Row],[Quantity]]*Table1[[#This Row],[Unit_Price]]</f>
        <v>4500</v>
      </c>
    </row>
    <row r="74" spans="1:13" x14ac:dyDescent="0.35">
      <c r="A74" t="s">
        <v>134</v>
      </c>
      <c r="B74" s="1">
        <v>46325</v>
      </c>
      <c r="C74">
        <v>2026</v>
      </c>
      <c r="D74" t="s">
        <v>34</v>
      </c>
      <c r="E74" t="s">
        <v>41</v>
      </c>
      <c r="F74" t="s">
        <v>42</v>
      </c>
      <c r="G74" t="s">
        <v>44</v>
      </c>
      <c r="H74" t="s">
        <v>19</v>
      </c>
      <c r="I74" t="s">
        <v>20</v>
      </c>
      <c r="J74">
        <v>24</v>
      </c>
      <c r="K74" s="2">
        <v>25</v>
      </c>
      <c r="L74">
        <v>15</v>
      </c>
      <c r="M74" s="3">
        <f>Table1[[#This Row],[Quantity]]*Table1[[#This Row],[Unit_Price]]</f>
        <v>600</v>
      </c>
    </row>
    <row r="75" spans="1:13" x14ac:dyDescent="0.35">
      <c r="A75" t="s">
        <v>135</v>
      </c>
      <c r="B75" s="1">
        <v>46330</v>
      </c>
      <c r="C75">
        <v>2026</v>
      </c>
      <c r="D75" t="s">
        <v>35</v>
      </c>
      <c r="E75" t="s">
        <v>47</v>
      </c>
      <c r="F75" t="s">
        <v>48</v>
      </c>
      <c r="G75" t="s">
        <v>50</v>
      </c>
      <c r="H75" t="s">
        <v>12</v>
      </c>
      <c r="I75" t="s">
        <v>14</v>
      </c>
      <c r="J75">
        <v>7</v>
      </c>
      <c r="K75" s="2">
        <v>750</v>
      </c>
      <c r="L75">
        <v>600</v>
      </c>
      <c r="M75" s="3">
        <f>Table1[[#This Row],[Quantity]]*Table1[[#This Row],[Unit_Price]]</f>
        <v>5250</v>
      </c>
    </row>
    <row r="76" spans="1:13" x14ac:dyDescent="0.35">
      <c r="A76" t="s">
        <v>136</v>
      </c>
      <c r="B76" s="1">
        <v>46334</v>
      </c>
      <c r="C76">
        <v>2026</v>
      </c>
      <c r="D76" t="s">
        <v>35</v>
      </c>
      <c r="E76" t="s">
        <v>52</v>
      </c>
      <c r="F76" t="s">
        <v>53</v>
      </c>
      <c r="G76" t="s">
        <v>57</v>
      </c>
      <c r="H76" t="s">
        <v>24</v>
      </c>
      <c r="I76" t="s">
        <v>14</v>
      </c>
      <c r="J76">
        <v>8</v>
      </c>
      <c r="K76" s="2">
        <v>300</v>
      </c>
      <c r="L76">
        <v>220</v>
      </c>
      <c r="M76" s="3">
        <f>Table1[[#This Row],[Quantity]]*Table1[[#This Row],[Unit_Price]]</f>
        <v>2400</v>
      </c>
    </row>
    <row r="77" spans="1:13" x14ac:dyDescent="0.35">
      <c r="A77" t="s">
        <v>137</v>
      </c>
      <c r="B77" s="1">
        <v>46338</v>
      </c>
      <c r="C77">
        <v>2026</v>
      </c>
      <c r="D77" t="s">
        <v>35</v>
      </c>
      <c r="E77" t="s">
        <v>6</v>
      </c>
      <c r="F77" t="s">
        <v>8</v>
      </c>
      <c r="G77" t="s">
        <v>40</v>
      </c>
      <c r="H77" t="s">
        <v>26</v>
      </c>
      <c r="I77" t="s">
        <v>62</v>
      </c>
      <c r="J77">
        <v>6</v>
      </c>
      <c r="K77" s="2">
        <v>280</v>
      </c>
      <c r="L77">
        <v>210</v>
      </c>
      <c r="M77" s="3">
        <f>Table1[[#This Row],[Quantity]]*Table1[[#This Row],[Unit_Price]]</f>
        <v>1680</v>
      </c>
    </row>
    <row r="78" spans="1:13" x14ac:dyDescent="0.35">
      <c r="A78" t="s">
        <v>138</v>
      </c>
      <c r="B78" s="1">
        <v>46342</v>
      </c>
      <c r="C78">
        <v>2026</v>
      </c>
      <c r="D78" t="s">
        <v>35</v>
      </c>
      <c r="E78" t="s">
        <v>6</v>
      </c>
      <c r="F78" t="s">
        <v>39</v>
      </c>
      <c r="G78" t="s">
        <v>10</v>
      </c>
      <c r="H78" t="s">
        <v>67</v>
      </c>
      <c r="I78" t="s">
        <v>14</v>
      </c>
      <c r="J78">
        <v>5</v>
      </c>
      <c r="K78" s="2">
        <v>650</v>
      </c>
      <c r="L78">
        <v>500</v>
      </c>
      <c r="M78" s="3">
        <f>Table1[[#This Row],[Quantity]]*Table1[[#This Row],[Unit_Price]]</f>
        <v>3250</v>
      </c>
    </row>
    <row r="79" spans="1:13" x14ac:dyDescent="0.35">
      <c r="A79" t="s">
        <v>139</v>
      </c>
      <c r="B79" s="1">
        <v>46346</v>
      </c>
      <c r="C79">
        <v>2026</v>
      </c>
      <c r="D79" t="s">
        <v>35</v>
      </c>
      <c r="E79" t="s">
        <v>6</v>
      </c>
      <c r="F79" t="s">
        <v>37</v>
      </c>
      <c r="G79" t="s">
        <v>22</v>
      </c>
      <c r="H79" t="s">
        <v>60</v>
      </c>
      <c r="I79" t="s">
        <v>14</v>
      </c>
      <c r="J79">
        <v>15</v>
      </c>
      <c r="K79" s="2">
        <v>450</v>
      </c>
      <c r="L79">
        <v>350</v>
      </c>
      <c r="M79" s="3">
        <f>Table1[[#This Row],[Quantity]]*Table1[[#This Row],[Unit_Price]]</f>
        <v>6750</v>
      </c>
    </row>
    <row r="80" spans="1:13" x14ac:dyDescent="0.35">
      <c r="A80" t="s">
        <v>140</v>
      </c>
      <c r="B80" s="1">
        <v>46350</v>
      </c>
      <c r="C80">
        <v>2026</v>
      </c>
      <c r="D80" t="s">
        <v>35</v>
      </c>
      <c r="E80" t="s">
        <v>41</v>
      </c>
      <c r="F80" t="s">
        <v>42</v>
      </c>
      <c r="G80" t="s">
        <v>45</v>
      </c>
      <c r="H80" t="s">
        <v>23</v>
      </c>
      <c r="I80" t="s">
        <v>20</v>
      </c>
      <c r="J80">
        <v>19</v>
      </c>
      <c r="K80" s="2">
        <v>45</v>
      </c>
      <c r="L80">
        <v>30</v>
      </c>
      <c r="M80" s="3">
        <f>Table1[[#This Row],[Quantity]]*Table1[[#This Row],[Unit_Price]]</f>
        <v>855</v>
      </c>
    </row>
    <row r="81" spans="1:13" x14ac:dyDescent="0.35">
      <c r="A81" t="s">
        <v>141</v>
      </c>
      <c r="B81" s="1">
        <v>46354</v>
      </c>
      <c r="C81">
        <v>2026</v>
      </c>
      <c r="D81" t="s">
        <v>35</v>
      </c>
      <c r="E81" t="s">
        <v>47</v>
      </c>
      <c r="F81" t="s">
        <v>48</v>
      </c>
      <c r="G81" t="s">
        <v>51</v>
      </c>
      <c r="H81" t="s">
        <v>19</v>
      </c>
      <c r="I81" t="s">
        <v>20</v>
      </c>
      <c r="J81">
        <v>28</v>
      </c>
      <c r="K81" s="2">
        <v>25</v>
      </c>
      <c r="L81">
        <v>15</v>
      </c>
      <c r="M81" s="3">
        <f>Table1[[#This Row],[Quantity]]*Table1[[#This Row],[Unit_Price]]</f>
        <v>700</v>
      </c>
    </row>
    <row r="82" spans="1:13" x14ac:dyDescent="0.35">
      <c r="A82" t="s">
        <v>142</v>
      </c>
      <c r="B82" s="1">
        <v>46358</v>
      </c>
      <c r="C82">
        <v>2026</v>
      </c>
      <c r="D82" t="s">
        <v>36</v>
      </c>
      <c r="E82" t="s">
        <v>52</v>
      </c>
      <c r="F82" t="s">
        <v>53</v>
      </c>
      <c r="G82" t="s">
        <v>54</v>
      </c>
      <c r="H82" t="s">
        <v>12</v>
      </c>
      <c r="I82" t="s">
        <v>14</v>
      </c>
      <c r="J82">
        <v>5</v>
      </c>
      <c r="K82" s="2">
        <v>750</v>
      </c>
      <c r="L82">
        <v>600</v>
      </c>
      <c r="M82" s="3">
        <f>Table1[[#This Row],[Quantity]]*Table1[[#This Row],[Unit_Price]]</f>
        <v>3750</v>
      </c>
    </row>
    <row r="83" spans="1:13" x14ac:dyDescent="0.35">
      <c r="A83" t="s">
        <v>143</v>
      </c>
      <c r="B83" s="1">
        <v>46361</v>
      </c>
      <c r="C83">
        <v>2026</v>
      </c>
      <c r="D83" t="s">
        <v>36</v>
      </c>
      <c r="E83" t="s">
        <v>6</v>
      </c>
      <c r="F83" t="s">
        <v>8</v>
      </c>
      <c r="G83" t="s">
        <v>38</v>
      </c>
      <c r="H83" t="s">
        <v>24</v>
      </c>
      <c r="I83" t="s">
        <v>14</v>
      </c>
      <c r="J83">
        <v>10</v>
      </c>
      <c r="K83" s="2">
        <v>300</v>
      </c>
      <c r="L83">
        <v>220</v>
      </c>
      <c r="M83" s="3">
        <f>Table1[[#This Row],[Quantity]]*Table1[[#This Row],[Unit_Price]]</f>
        <v>3000</v>
      </c>
    </row>
    <row r="84" spans="1:13" x14ac:dyDescent="0.35">
      <c r="A84" t="s">
        <v>144</v>
      </c>
      <c r="B84" s="1">
        <v>46364</v>
      </c>
      <c r="C84">
        <v>2026</v>
      </c>
      <c r="D84" t="s">
        <v>36</v>
      </c>
      <c r="E84" t="s">
        <v>6</v>
      </c>
      <c r="F84" t="s">
        <v>21</v>
      </c>
      <c r="G84" t="s">
        <v>40</v>
      </c>
      <c r="H84" t="s">
        <v>26</v>
      </c>
      <c r="I84" t="s">
        <v>62</v>
      </c>
      <c r="J84">
        <v>7</v>
      </c>
      <c r="K84" s="2">
        <v>280</v>
      </c>
      <c r="L84">
        <v>210</v>
      </c>
      <c r="M84" s="3">
        <f>Table1[[#This Row],[Quantity]]*Table1[[#This Row],[Unit_Price]]</f>
        <v>1960</v>
      </c>
    </row>
    <row r="85" spans="1:13" x14ac:dyDescent="0.35">
      <c r="A85" t="s">
        <v>145</v>
      </c>
      <c r="B85" s="1">
        <v>46367</v>
      </c>
      <c r="C85">
        <v>2026</v>
      </c>
      <c r="D85" t="s">
        <v>36</v>
      </c>
      <c r="E85" t="s">
        <v>41</v>
      </c>
      <c r="F85" t="s">
        <v>42</v>
      </c>
      <c r="G85" t="s">
        <v>46</v>
      </c>
      <c r="H85" t="s">
        <v>60</v>
      </c>
      <c r="I85" t="s">
        <v>14</v>
      </c>
      <c r="J85">
        <v>11</v>
      </c>
      <c r="K85" s="2">
        <v>450</v>
      </c>
      <c r="L85">
        <v>350</v>
      </c>
      <c r="M85" s="3">
        <f>Table1[[#This Row],[Quantity]]*Table1[[#This Row],[Unit_Price]]</f>
        <v>4950</v>
      </c>
    </row>
    <row r="86" spans="1:13" x14ac:dyDescent="0.35">
      <c r="A86" t="s">
        <v>146</v>
      </c>
      <c r="B86" s="1">
        <v>46370</v>
      </c>
      <c r="C86">
        <v>2026</v>
      </c>
      <c r="D86" t="s">
        <v>36</v>
      </c>
      <c r="E86" t="s">
        <v>47</v>
      </c>
      <c r="F86" t="s">
        <v>48</v>
      </c>
      <c r="G86" t="s">
        <v>49</v>
      </c>
      <c r="H86" t="s">
        <v>67</v>
      </c>
      <c r="I86" t="s">
        <v>14</v>
      </c>
      <c r="J86">
        <v>6</v>
      </c>
      <c r="K86" s="2">
        <v>650</v>
      </c>
      <c r="L86">
        <v>500</v>
      </c>
      <c r="M86" s="3">
        <f>Table1[[#This Row],[Quantity]]*Table1[[#This Row],[Unit_Price]]</f>
        <v>3900</v>
      </c>
    </row>
    <row r="87" spans="1:13" x14ac:dyDescent="0.35">
      <c r="A87" t="s">
        <v>147</v>
      </c>
      <c r="B87" s="1">
        <v>46373</v>
      </c>
      <c r="C87">
        <v>2026</v>
      </c>
      <c r="D87" t="s">
        <v>36</v>
      </c>
      <c r="E87" t="s">
        <v>6</v>
      </c>
      <c r="F87" t="s">
        <v>18</v>
      </c>
      <c r="G87" t="s">
        <v>10</v>
      </c>
      <c r="H87" t="s">
        <v>12</v>
      </c>
      <c r="I87" t="s">
        <v>14</v>
      </c>
      <c r="J87">
        <v>9</v>
      </c>
      <c r="K87" s="2">
        <v>750</v>
      </c>
      <c r="L87">
        <v>600</v>
      </c>
      <c r="M87" s="3">
        <f>Table1[[#This Row],[Quantity]]*Table1[[#This Row],[Unit_Price]]</f>
        <v>6750</v>
      </c>
    </row>
    <row r="88" spans="1:13" x14ac:dyDescent="0.35">
      <c r="A88" t="s">
        <v>148</v>
      </c>
      <c r="B88" s="1">
        <v>46376</v>
      </c>
      <c r="C88">
        <v>2026</v>
      </c>
      <c r="D88" t="s">
        <v>36</v>
      </c>
      <c r="E88" t="s">
        <v>52</v>
      </c>
      <c r="F88" t="s">
        <v>53</v>
      </c>
      <c r="G88" t="s">
        <v>55</v>
      </c>
      <c r="H88" t="s">
        <v>23</v>
      </c>
      <c r="I88" t="s">
        <v>20</v>
      </c>
      <c r="J88">
        <v>21</v>
      </c>
      <c r="K88" s="2">
        <v>45</v>
      </c>
      <c r="L88">
        <v>30</v>
      </c>
      <c r="M88" s="3">
        <f>Table1[[#This Row],[Quantity]]*Table1[[#This Row],[Unit_Price]]</f>
        <v>945</v>
      </c>
    </row>
    <row r="89" spans="1:13" x14ac:dyDescent="0.35">
      <c r="A89" t="s">
        <v>149</v>
      </c>
      <c r="B89" s="1">
        <v>46378</v>
      </c>
      <c r="C89">
        <v>2026</v>
      </c>
      <c r="D89" t="s">
        <v>36</v>
      </c>
      <c r="E89" t="s">
        <v>6</v>
      </c>
      <c r="F89" t="s">
        <v>70</v>
      </c>
      <c r="G89" t="s">
        <v>22</v>
      </c>
      <c r="H89" t="s">
        <v>19</v>
      </c>
      <c r="I89" t="s">
        <v>20</v>
      </c>
      <c r="J89">
        <v>32</v>
      </c>
      <c r="K89" s="2">
        <v>25</v>
      </c>
      <c r="L89">
        <v>15</v>
      </c>
      <c r="M89" s="3">
        <f>Table1[[#This Row],[Quantity]]*Table1[[#This Row],[Unit_Price]]</f>
        <v>800</v>
      </c>
    </row>
    <row r="90" spans="1:13" x14ac:dyDescent="0.35">
      <c r="A90" t="s">
        <v>150</v>
      </c>
      <c r="B90" s="1">
        <v>46380</v>
      </c>
      <c r="C90">
        <v>2026</v>
      </c>
      <c r="D90" t="s">
        <v>36</v>
      </c>
      <c r="E90" t="s">
        <v>6</v>
      </c>
      <c r="F90" t="s">
        <v>39</v>
      </c>
      <c r="G90" t="s">
        <v>38</v>
      </c>
      <c r="H90" t="s">
        <v>60</v>
      </c>
      <c r="I90" t="s">
        <v>14</v>
      </c>
      <c r="J90">
        <v>13</v>
      </c>
      <c r="K90" s="2">
        <v>450</v>
      </c>
      <c r="L90">
        <v>350</v>
      </c>
      <c r="M90" s="3">
        <f>Table1[[#This Row],[Quantity]]*Table1[[#This Row],[Unit_Price]]</f>
        <v>5850</v>
      </c>
    </row>
    <row r="91" spans="1:13" x14ac:dyDescent="0.35">
      <c r="A91" t="s">
        <v>151</v>
      </c>
      <c r="B91" s="1">
        <v>46382</v>
      </c>
      <c r="C91">
        <v>2026</v>
      </c>
      <c r="D91" t="s">
        <v>36</v>
      </c>
      <c r="E91" t="s">
        <v>41</v>
      </c>
      <c r="F91" t="s">
        <v>42</v>
      </c>
      <c r="G91" t="s">
        <v>43</v>
      </c>
      <c r="H91" t="s">
        <v>26</v>
      </c>
      <c r="I91" t="s">
        <v>62</v>
      </c>
      <c r="J91">
        <v>8</v>
      </c>
      <c r="K91" s="2">
        <v>280</v>
      </c>
      <c r="L91">
        <v>210</v>
      </c>
      <c r="M91" s="3">
        <f>Table1[[#This Row],[Quantity]]*Table1[[#This Row],[Unit_Price]]</f>
        <v>2240</v>
      </c>
    </row>
    <row r="92" spans="1:13" x14ac:dyDescent="0.35">
      <c r="A92" t="s">
        <v>152</v>
      </c>
      <c r="B92" s="1">
        <v>46383</v>
      </c>
      <c r="C92">
        <v>2026</v>
      </c>
      <c r="D92" t="s">
        <v>36</v>
      </c>
      <c r="E92" t="s">
        <v>47</v>
      </c>
      <c r="F92" t="s">
        <v>48</v>
      </c>
      <c r="G92" t="s">
        <v>50</v>
      </c>
      <c r="H92" t="s">
        <v>24</v>
      </c>
      <c r="I92" t="s">
        <v>14</v>
      </c>
      <c r="J92">
        <v>10</v>
      </c>
      <c r="K92" s="2">
        <v>300</v>
      </c>
      <c r="L92">
        <v>220</v>
      </c>
      <c r="M92" s="3">
        <f>Table1[[#This Row],[Quantity]]*Table1[[#This Row],[Unit_Price]]</f>
        <v>3000</v>
      </c>
    </row>
    <row r="93" spans="1:13" x14ac:dyDescent="0.35">
      <c r="A93" t="s">
        <v>153</v>
      </c>
      <c r="B93" s="1">
        <v>46384</v>
      </c>
      <c r="C93">
        <v>2026</v>
      </c>
      <c r="D93" t="s">
        <v>36</v>
      </c>
      <c r="E93" t="s">
        <v>6</v>
      </c>
      <c r="F93" t="s">
        <v>8</v>
      </c>
      <c r="G93" t="s">
        <v>40</v>
      </c>
      <c r="H93" t="s">
        <v>67</v>
      </c>
      <c r="I93" t="s">
        <v>14</v>
      </c>
      <c r="J93">
        <v>7</v>
      </c>
      <c r="K93" s="2">
        <v>650</v>
      </c>
      <c r="L93">
        <v>500</v>
      </c>
      <c r="M93" s="3">
        <f>Table1[[#This Row],[Quantity]]*Table1[[#This Row],[Unit_Price]]</f>
        <v>4550</v>
      </c>
    </row>
    <row r="94" spans="1:13" x14ac:dyDescent="0.35">
      <c r="A94" t="s">
        <v>154</v>
      </c>
      <c r="B94" s="1">
        <v>46385</v>
      </c>
      <c r="C94">
        <v>2026</v>
      </c>
      <c r="D94" t="s">
        <v>36</v>
      </c>
      <c r="E94" t="s">
        <v>52</v>
      </c>
      <c r="F94" t="s">
        <v>53</v>
      </c>
      <c r="G94" t="s">
        <v>56</v>
      </c>
      <c r="H94" t="s">
        <v>12</v>
      </c>
      <c r="I94" t="s">
        <v>14</v>
      </c>
      <c r="J94">
        <v>6</v>
      </c>
      <c r="K94" s="2">
        <v>750</v>
      </c>
      <c r="L94">
        <v>600</v>
      </c>
      <c r="M94" s="3">
        <f>Table1[[#This Row],[Quantity]]*Table1[[#This Row],[Unit_Price]]</f>
        <v>4500</v>
      </c>
    </row>
    <row r="95" spans="1:13" x14ac:dyDescent="0.35">
      <c r="A95" t="s">
        <v>155</v>
      </c>
      <c r="B95" s="1">
        <v>46385</v>
      </c>
      <c r="C95">
        <v>2026</v>
      </c>
      <c r="D95" t="s">
        <v>36</v>
      </c>
      <c r="E95" t="s">
        <v>6</v>
      </c>
      <c r="F95" t="s">
        <v>21</v>
      </c>
      <c r="G95" t="s">
        <v>10</v>
      </c>
      <c r="H95" t="s">
        <v>23</v>
      </c>
      <c r="I95" t="s">
        <v>20</v>
      </c>
      <c r="J95">
        <v>23</v>
      </c>
      <c r="K95" s="2">
        <v>45</v>
      </c>
      <c r="L95">
        <v>30</v>
      </c>
      <c r="M95" s="3">
        <f>Table1[[#This Row],[Quantity]]*Table1[[#This Row],[Unit_Price]]</f>
        <v>1035</v>
      </c>
    </row>
    <row r="96" spans="1:13" x14ac:dyDescent="0.35">
      <c r="A96" t="s">
        <v>156</v>
      </c>
      <c r="B96" s="1">
        <v>46386</v>
      </c>
      <c r="C96">
        <v>2026</v>
      </c>
      <c r="D96" t="s">
        <v>36</v>
      </c>
      <c r="E96" t="s">
        <v>41</v>
      </c>
      <c r="F96" t="s">
        <v>42</v>
      </c>
      <c r="G96" t="s">
        <v>44</v>
      </c>
      <c r="H96" t="s">
        <v>12</v>
      </c>
      <c r="I96" t="s">
        <v>14</v>
      </c>
      <c r="J96">
        <v>8</v>
      </c>
      <c r="K96" s="2">
        <v>750</v>
      </c>
      <c r="L96">
        <v>600</v>
      </c>
      <c r="M96" s="3">
        <f>Table1[[#This Row],[Quantity]]*Table1[[#This Row],[Unit_Price]]</f>
        <v>6000</v>
      </c>
    </row>
    <row r="97" spans="1:13" x14ac:dyDescent="0.35">
      <c r="A97" t="s">
        <v>157</v>
      </c>
      <c r="B97" s="1">
        <v>46386</v>
      </c>
      <c r="C97">
        <v>2026</v>
      </c>
      <c r="D97" t="s">
        <v>36</v>
      </c>
      <c r="E97" t="s">
        <v>47</v>
      </c>
      <c r="F97" t="s">
        <v>48</v>
      </c>
      <c r="G97" t="s">
        <v>51</v>
      </c>
      <c r="H97" t="s">
        <v>60</v>
      </c>
      <c r="I97" t="s">
        <v>14</v>
      </c>
      <c r="J97">
        <v>16</v>
      </c>
      <c r="K97" s="2">
        <v>450</v>
      </c>
      <c r="L97">
        <v>350</v>
      </c>
      <c r="M97" s="3">
        <f>Table1[[#This Row],[Quantity]]*Table1[[#This Row],[Unit_Price]]</f>
        <v>7200</v>
      </c>
    </row>
    <row r="98" spans="1:13" x14ac:dyDescent="0.35">
      <c r="A98" t="s">
        <v>158</v>
      </c>
      <c r="B98" s="1">
        <v>46386</v>
      </c>
      <c r="C98">
        <v>2026</v>
      </c>
      <c r="D98" t="s">
        <v>36</v>
      </c>
      <c r="E98" t="s">
        <v>6</v>
      </c>
      <c r="F98" t="s">
        <v>37</v>
      </c>
      <c r="G98" t="s">
        <v>22</v>
      </c>
      <c r="H98" t="s">
        <v>24</v>
      </c>
      <c r="I98" t="s">
        <v>14</v>
      </c>
      <c r="J98">
        <v>9</v>
      </c>
      <c r="K98" s="2">
        <v>300</v>
      </c>
      <c r="L98">
        <v>220</v>
      </c>
      <c r="M98" s="3">
        <f>Table1[[#This Row],[Quantity]]*Table1[[#This Row],[Unit_Price]]</f>
        <v>2700</v>
      </c>
    </row>
    <row r="99" spans="1:13" x14ac:dyDescent="0.35">
      <c r="A99" t="s">
        <v>159</v>
      </c>
      <c r="B99" s="1">
        <v>46387</v>
      </c>
      <c r="C99">
        <v>2026</v>
      </c>
      <c r="D99" t="s">
        <v>36</v>
      </c>
      <c r="E99" t="s">
        <v>6</v>
      </c>
      <c r="F99" t="s">
        <v>18</v>
      </c>
      <c r="G99" t="s">
        <v>38</v>
      </c>
      <c r="H99" t="s">
        <v>26</v>
      </c>
      <c r="I99" t="s">
        <v>62</v>
      </c>
      <c r="J99">
        <v>8</v>
      </c>
      <c r="K99" s="2">
        <v>280</v>
      </c>
      <c r="L99">
        <v>210</v>
      </c>
      <c r="M99" s="3">
        <f>Table1[[#This Row],[Quantity]]*Table1[[#This Row],[Unit_Price]]</f>
        <v>2240</v>
      </c>
    </row>
    <row r="100" spans="1:13" x14ac:dyDescent="0.35">
      <c r="A100" t="s">
        <v>160</v>
      </c>
      <c r="B100" s="1">
        <v>46387</v>
      </c>
      <c r="C100">
        <v>2026</v>
      </c>
      <c r="D100" t="s">
        <v>36</v>
      </c>
      <c r="E100" t="s">
        <v>52</v>
      </c>
      <c r="F100" t="s">
        <v>53</v>
      </c>
      <c r="G100" t="s">
        <v>57</v>
      </c>
      <c r="H100" t="s">
        <v>67</v>
      </c>
      <c r="I100" t="s">
        <v>14</v>
      </c>
      <c r="J100">
        <v>5</v>
      </c>
      <c r="K100" s="2">
        <v>650</v>
      </c>
      <c r="L100">
        <v>500</v>
      </c>
      <c r="M100" s="3">
        <f>Table1[[#This Row],[Quantity]]*Table1[[#This Row],[Unit_Price]]</f>
        <v>3250</v>
      </c>
    </row>
    <row r="101" spans="1:13" x14ac:dyDescent="0.35">
      <c r="A101" t="s">
        <v>161</v>
      </c>
      <c r="B101" s="1">
        <v>46387</v>
      </c>
      <c r="C101">
        <v>2026</v>
      </c>
      <c r="D101" t="s">
        <v>36</v>
      </c>
      <c r="E101" t="s">
        <v>6</v>
      </c>
      <c r="F101" t="s">
        <v>8</v>
      </c>
      <c r="G101" t="s">
        <v>10</v>
      </c>
      <c r="H101" t="s">
        <v>12</v>
      </c>
      <c r="I101" t="s">
        <v>14</v>
      </c>
      <c r="J101">
        <v>10</v>
      </c>
      <c r="K101" s="2">
        <v>750</v>
      </c>
      <c r="L101">
        <v>600</v>
      </c>
      <c r="M101" s="3">
        <f>Table1[[#This Row],[Quantity]]*Table1[[#This Row],[Unit_Price]]</f>
        <v>7500</v>
      </c>
    </row>
    <row r="102" spans="1:13" x14ac:dyDescent="0.35">
      <c r="A102" t="s">
        <v>165</v>
      </c>
      <c r="J102">
        <f>SUBTOTAL(109,Table1[Quantity])</f>
        <v>979</v>
      </c>
      <c r="M102" s="3">
        <f>SUBTOTAL(109,Table1[Total Sales])</f>
        <v>294670</v>
      </c>
    </row>
  </sheetData>
  <pageMargins left="0.7" right="0.7" top="0.75" bottom="0.75" header="0.3" footer="0.3"/>
  <pageSetup orientation="portrait" r:id="rId1"/>
  <drawing r:id="rId2"/>
  <tableParts count="1">
    <tablePart r:id="rId3"/>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Pivot Table</vt:lpstr>
      <vt:lpstr>Dashboard</vt:lpstr>
      <vt:lpstr>Row 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abdi nasir mohamed</dc:creator>
  <cp:lastModifiedBy>abdi nasir mohamed</cp:lastModifiedBy>
  <dcterms:created xsi:type="dcterms:W3CDTF">2026-10-01T05:52:17Z</dcterms:created>
  <dcterms:modified xsi:type="dcterms:W3CDTF">2026-10-04T18:08:10Z</dcterms:modified>
</cp:coreProperties>
</file>